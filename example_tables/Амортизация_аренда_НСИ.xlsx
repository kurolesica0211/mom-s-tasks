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ен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.##0,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9DC3E6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/>
      <bottom/>
    </border>
    <border>
      <left/>
      <right/>
      <top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6" pivotButton="0" quotePrefix="0" xfId="0"/>
    <xf numFmtId="164" fontId="1" fillId="0" borderId="6" pivotButton="0" quotePrefix="0" xfId="0"/>
    <xf numFmtId="0" fontId="1" fillId="0" borderId="7" pivotButton="0" quotePrefix="0" xfId="0"/>
    <xf numFmtId="164" fontId="1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D1" t="inlineStr">
        <is>
          <t>Арендодатели</t>
        </is>
      </c>
      <c r="AM1" s="1" t="inlineStr">
        <is>
          <t>ИТОГО</t>
        </is>
      </c>
    </row>
    <row r="2">
      <c r="A2" t="inlineStr">
        <is>
          <t>Контрагент</t>
        </is>
      </c>
      <c r="B2" t="inlineStr">
        <is>
          <t>Номера Договоров</t>
        </is>
      </c>
      <c r="C2" t="inlineStr">
        <is>
          <t>По арендованному имуществу</t>
        </is>
      </c>
    </row>
    <row r="3">
      <c r="C3" s="2" t="inlineStr">
        <is>
          <t>январь</t>
        </is>
      </c>
      <c r="D3" s="3" t="n"/>
      <c r="E3" s="4" t="n"/>
      <c r="F3" s="2" t="inlineStr">
        <is>
          <t>февраль</t>
        </is>
      </c>
      <c r="G3" s="3" t="n"/>
      <c r="H3" s="4" t="n"/>
      <c r="I3" s="2" t="inlineStr">
        <is>
          <t>март</t>
        </is>
      </c>
      <c r="J3" s="3" t="n"/>
      <c r="K3" s="4" t="n"/>
      <c r="L3" s="2" t="inlineStr">
        <is>
          <t>апрель</t>
        </is>
      </c>
      <c r="M3" s="3" t="n"/>
      <c r="N3" s="4" t="n"/>
      <c r="O3" s="2" t="inlineStr">
        <is>
          <t>май</t>
        </is>
      </c>
      <c r="P3" s="3" t="n"/>
      <c r="Q3" s="4" t="n"/>
      <c r="R3" s="2" t="inlineStr">
        <is>
          <t>июнь</t>
        </is>
      </c>
      <c r="S3" s="3" t="n"/>
      <c r="T3" s="4" t="n"/>
      <c r="U3" s="2" t="inlineStr">
        <is>
          <t>июль</t>
        </is>
      </c>
      <c r="V3" s="3" t="n"/>
      <c r="W3" s="4" t="n"/>
      <c r="X3" s="2" t="inlineStr">
        <is>
          <t>август</t>
        </is>
      </c>
      <c r="Y3" s="3" t="n"/>
      <c r="Z3" s="4" t="n"/>
      <c r="AA3" s="2" t="inlineStr">
        <is>
          <t>сентябрь</t>
        </is>
      </c>
      <c r="AB3" s="3" t="n"/>
      <c r="AC3" s="4" t="n"/>
      <c r="AD3" s="2" t="inlineStr">
        <is>
          <t>октябрь</t>
        </is>
      </c>
      <c r="AE3" s="3" t="n"/>
      <c r="AF3" s="4" t="n"/>
      <c r="AG3" s="2" t="inlineStr">
        <is>
          <t>ноябрь</t>
        </is>
      </c>
      <c r="AH3" s="3" t="n"/>
      <c r="AI3" s="4" t="n"/>
      <c r="AJ3" s="2" t="inlineStr">
        <is>
          <t>декабрь</t>
        </is>
      </c>
      <c r="AK3" s="3" t="n"/>
      <c r="AL3" s="4" t="n"/>
    </row>
    <row r="4">
      <c r="C4" s="2" t="n">
        <v>2024</v>
      </c>
      <c r="D4" s="2" t="n">
        <v>2025</v>
      </c>
      <c r="E4" s="2" t="n">
        <v>2026</v>
      </c>
      <c r="F4" s="2" t="n">
        <v>2024</v>
      </c>
      <c r="G4" s="2" t="n">
        <v>2025</v>
      </c>
      <c r="H4" s="2" t="n">
        <v>2026</v>
      </c>
      <c r="I4" s="2" t="n">
        <v>2024</v>
      </c>
      <c r="J4" s="2" t="n">
        <v>2025</v>
      </c>
      <c r="K4" s="2" t="n">
        <v>2026</v>
      </c>
      <c r="L4" s="2" t="n">
        <v>2024</v>
      </c>
      <c r="M4" s="2" t="n">
        <v>2025</v>
      </c>
      <c r="N4" s="2" t="n">
        <v>2026</v>
      </c>
      <c r="O4" s="2" t="n">
        <v>2024</v>
      </c>
      <c r="P4" s="2" t="n">
        <v>2025</v>
      </c>
      <c r="Q4" s="2" t="n">
        <v>2026</v>
      </c>
      <c r="R4" s="2" t="n">
        <v>2024</v>
      </c>
      <c r="S4" s="2" t="n">
        <v>2025</v>
      </c>
      <c r="T4" s="2" t="n">
        <v>2026</v>
      </c>
      <c r="U4" s="2" t="n">
        <v>2024</v>
      </c>
      <c r="V4" s="2" t="n">
        <v>2025</v>
      </c>
      <c r="W4" s="2" t="n">
        <v>2026</v>
      </c>
      <c r="X4" s="2" t="n">
        <v>2024</v>
      </c>
      <c r="Y4" s="2" t="n">
        <v>2025</v>
      </c>
      <c r="Z4" s="2" t="n">
        <v>2026</v>
      </c>
      <c r="AA4" s="2" t="n">
        <v>2024</v>
      </c>
      <c r="AB4" s="2" t="n">
        <v>2025</v>
      </c>
      <c r="AC4" s="2" t="n">
        <v>2026</v>
      </c>
      <c r="AD4" s="2" t="n">
        <v>2024</v>
      </c>
      <c r="AE4" s="2" t="n">
        <v>2025</v>
      </c>
      <c r="AF4" s="2" t="n">
        <v>2026</v>
      </c>
      <c r="AG4" s="2" t="n">
        <v>2024</v>
      </c>
      <c r="AH4" s="2" t="n">
        <v>2025</v>
      </c>
      <c r="AI4" s="2" t="n">
        <v>2026</v>
      </c>
      <c r="AJ4" s="2" t="n">
        <v>2024</v>
      </c>
      <c r="AK4" s="2" t="n">
        <v>2025</v>
      </c>
      <c r="AL4" s="2" t="n">
        <v>2026</v>
      </c>
      <c r="AM4" s="1" t="n">
        <v>2024</v>
      </c>
      <c r="AN4" s="1" t="n">
        <v>2025</v>
      </c>
      <c r="AO4" s="1" t="n">
        <v>2026</v>
      </c>
    </row>
    <row r="5">
      <c r="C5" s="2" t="inlineStr">
        <is>
          <t>Аренда</t>
        </is>
      </c>
      <c r="D5" s="2" t="inlineStr">
        <is>
          <t>Аренда</t>
        </is>
      </c>
      <c r="E5" s="2" t="inlineStr">
        <is>
          <t>Аренда</t>
        </is>
      </c>
      <c r="F5" s="2" t="inlineStr">
        <is>
          <t>Аренда</t>
        </is>
      </c>
      <c r="G5" s="2" t="inlineStr">
        <is>
          <t>Аренда</t>
        </is>
      </c>
      <c r="H5" s="2" t="inlineStr">
        <is>
          <t>Аренда</t>
        </is>
      </c>
      <c r="I5" s="2" t="inlineStr">
        <is>
          <t>Аренда</t>
        </is>
      </c>
      <c r="J5" s="2" t="inlineStr">
        <is>
          <t>Аренда</t>
        </is>
      </c>
      <c r="K5" s="2" t="inlineStr">
        <is>
          <t>Аренда</t>
        </is>
      </c>
      <c r="L5" s="2" t="inlineStr">
        <is>
          <t>Аренда</t>
        </is>
      </c>
      <c r="M5" s="2" t="inlineStr">
        <is>
          <t>Аренда</t>
        </is>
      </c>
      <c r="N5" s="2" t="inlineStr">
        <is>
          <t>Аренда</t>
        </is>
      </c>
      <c r="O5" s="2" t="inlineStr">
        <is>
          <t>Аренда</t>
        </is>
      </c>
      <c r="P5" s="2" t="inlineStr">
        <is>
          <t>Аренда</t>
        </is>
      </c>
      <c r="Q5" s="2" t="inlineStr">
        <is>
          <t>Аренда</t>
        </is>
      </c>
      <c r="R5" s="2" t="inlineStr">
        <is>
          <t>Аренда</t>
        </is>
      </c>
      <c r="S5" s="2" t="inlineStr">
        <is>
          <t>Аренда</t>
        </is>
      </c>
      <c r="T5" s="2" t="inlineStr">
        <is>
          <t>Аренда</t>
        </is>
      </c>
      <c r="U5" s="2" t="inlineStr">
        <is>
          <t>Аренда</t>
        </is>
      </c>
      <c r="V5" s="2" t="inlineStr">
        <is>
          <t>Аренда</t>
        </is>
      </c>
      <c r="W5" s="2" t="inlineStr">
        <is>
          <t>Аренда</t>
        </is>
      </c>
      <c r="X5" s="2" t="inlineStr">
        <is>
          <t>Аренда</t>
        </is>
      </c>
      <c r="Y5" s="2" t="inlineStr">
        <is>
          <t>Аренда</t>
        </is>
      </c>
      <c r="Z5" s="2" t="inlineStr">
        <is>
          <t>Аренда</t>
        </is>
      </c>
      <c r="AA5" s="2" t="inlineStr">
        <is>
          <t>Аренда</t>
        </is>
      </c>
      <c r="AB5" s="2" t="inlineStr">
        <is>
          <t>Аренда</t>
        </is>
      </c>
      <c r="AC5" s="2" t="inlineStr">
        <is>
          <t>Аренда</t>
        </is>
      </c>
      <c r="AD5" s="2" t="inlineStr">
        <is>
          <t>Аренда</t>
        </is>
      </c>
      <c r="AE5" s="2" t="inlineStr">
        <is>
          <t>Аренда</t>
        </is>
      </c>
      <c r="AF5" s="2" t="inlineStr">
        <is>
          <t>Аренда</t>
        </is>
      </c>
      <c r="AG5" s="2" t="inlineStr">
        <is>
          <t>Аренда</t>
        </is>
      </c>
      <c r="AH5" s="2" t="inlineStr">
        <is>
          <t>Аренда</t>
        </is>
      </c>
      <c r="AI5" s="2" t="inlineStr">
        <is>
          <t>Аренда</t>
        </is>
      </c>
      <c r="AJ5" s="2" t="inlineStr">
        <is>
          <t>Аренда</t>
        </is>
      </c>
      <c r="AK5" s="2" t="inlineStr">
        <is>
          <t>Аренда</t>
        </is>
      </c>
      <c r="AL5" s="2" t="inlineStr">
        <is>
          <t>Аренда</t>
        </is>
      </c>
      <c r="AM5" s="1" t="inlineStr">
        <is>
          <t>ИТОГО</t>
        </is>
      </c>
      <c r="AN5" s="1" t="inlineStr">
        <is>
          <t>ИТОГО</t>
        </is>
      </c>
      <c r="AO5" s="1" t="inlineStr">
        <is>
          <t>ИТОГО</t>
        </is>
      </c>
    </row>
    <row r="7">
      <c r="A7" s="5" t="inlineStr">
        <is>
          <t>ООО Контент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</row>
    <row r="8">
      <c r="B8" t="inlineStr">
        <is>
          <t>1/01.01.2024</t>
        </is>
      </c>
      <c r="C8" s="6" t="n">
        <v>3237825.06</v>
      </c>
      <c r="F8" s="6" t="n">
        <v>3237825.06</v>
      </c>
      <c r="I8" s="6" t="n">
        <v>3237825.06</v>
      </c>
      <c r="L8" s="6" t="n">
        <v>3237825.06</v>
      </c>
      <c r="O8" s="6" t="n">
        <v>3237825.06</v>
      </c>
      <c r="R8" s="6" t="n">
        <v>3237825.06</v>
      </c>
      <c r="U8" s="6" t="n">
        <v>3237825.06</v>
      </c>
      <c r="X8" s="6" t="n">
        <v>3237825.06</v>
      </c>
      <c r="AA8" s="6" t="n">
        <v>3237825.06</v>
      </c>
      <c r="AD8" s="6" t="n">
        <v>3237825.06</v>
      </c>
      <c r="AG8" s="6" t="n">
        <v>3237825.06</v>
      </c>
      <c r="AJ8" s="6" t="n">
        <v>3057945.89</v>
      </c>
      <c r="AM8" s="6" t="n">
        <v>38674021.55</v>
      </c>
    </row>
    <row r="9">
      <c r="B9" t="inlineStr">
        <is>
          <t>1/01.01.2025</t>
        </is>
      </c>
      <c r="D9" s="6" t="n">
        <v>3057945.83</v>
      </c>
      <c r="G9" s="6" t="n">
        <v>3057945.83</v>
      </c>
      <c r="J9" s="6" t="n">
        <v>3057945.89</v>
      </c>
      <c r="M9" s="6" t="n">
        <v>3057945.89</v>
      </c>
      <c r="P9" s="6" t="n">
        <v>3057945.89</v>
      </c>
      <c r="S9" s="6" t="n">
        <v>3057945.89</v>
      </c>
      <c r="V9" s="6" t="n">
        <v>3057945.89</v>
      </c>
      <c r="Y9" s="6" t="n">
        <v>3156589.31</v>
      </c>
      <c r="AB9" s="6" t="n">
        <v>3237825.06</v>
      </c>
      <c r="AE9" s="6" t="n">
        <v>3237825.06</v>
      </c>
      <c r="AH9" s="6" t="n">
        <v>3237825.06</v>
      </c>
      <c r="AK9" s="6" t="n">
        <v>3237825.06</v>
      </c>
      <c r="AN9" s="6" t="n">
        <v>37513510.66</v>
      </c>
    </row>
    <row r="10">
      <c r="B10" t="inlineStr">
        <is>
          <t>1/01.01.2026</t>
        </is>
      </c>
      <c r="E10" s="6" t="n">
        <v>3184745.94</v>
      </c>
      <c r="H10" s="6" t="n">
        <v>3184745.94</v>
      </c>
      <c r="K10" s="6" t="n">
        <v>3184745.94</v>
      </c>
      <c r="N10" s="6" t="n">
        <v>3184745.94</v>
      </c>
      <c r="Q10" s="6" t="n">
        <v>3184745.94</v>
      </c>
      <c r="AO10" s="6" t="n">
        <v>15923729.7</v>
      </c>
    </row>
    <row r="11">
      <c r="A11" s="7" t="n"/>
      <c r="B11" s="7" t="inlineStr">
        <is>
          <t>Итого</t>
        </is>
      </c>
      <c r="C11" s="8">
        <f>SUM(C8:C10)</f>
        <v/>
      </c>
      <c r="D11" s="8">
        <f>SUM(D8:D10)</f>
        <v/>
      </c>
      <c r="E11" s="8">
        <f>SUM(E8:E10)</f>
        <v/>
      </c>
      <c r="F11" s="8">
        <f>SUM(F8:F10)</f>
        <v/>
      </c>
      <c r="G11" s="8">
        <f>SUM(G8:G10)</f>
        <v/>
      </c>
      <c r="H11" s="8">
        <f>SUM(H8:H10)</f>
        <v/>
      </c>
      <c r="I11" s="8">
        <f>SUM(I8:I10)</f>
        <v/>
      </c>
      <c r="J11" s="8">
        <f>SUM(J8:J10)</f>
        <v/>
      </c>
      <c r="K11" s="8">
        <f>SUM(K8:K10)</f>
        <v/>
      </c>
      <c r="L11" s="8">
        <f>SUM(L8:L10)</f>
        <v/>
      </c>
      <c r="M11" s="8">
        <f>SUM(M8:M10)</f>
        <v/>
      </c>
      <c r="N11" s="8">
        <f>SUM(N8:N10)</f>
        <v/>
      </c>
      <c r="O11" s="8">
        <f>SUM(O8:O10)</f>
        <v/>
      </c>
      <c r="P11" s="8">
        <f>SUM(P8:P10)</f>
        <v/>
      </c>
      <c r="Q11" s="8">
        <f>SUM(Q8:Q10)</f>
        <v/>
      </c>
      <c r="R11" s="8">
        <f>SUM(R8:R10)</f>
        <v/>
      </c>
      <c r="S11" s="8">
        <f>SUM(S8:S10)</f>
        <v/>
      </c>
      <c r="T11" s="7" t="n"/>
      <c r="U11" s="8">
        <f>SUM(U8:U10)</f>
        <v/>
      </c>
      <c r="V11" s="8">
        <f>SUM(V8:V10)</f>
        <v/>
      </c>
      <c r="W11" s="7" t="n"/>
      <c r="X11" s="8">
        <f>SUM(X8:X10)</f>
        <v/>
      </c>
      <c r="Y11" s="8">
        <f>SUM(Y8:Y10)</f>
        <v/>
      </c>
      <c r="Z11" s="7" t="n"/>
      <c r="AA11" s="8">
        <f>SUM(AA8:AA10)</f>
        <v/>
      </c>
      <c r="AB11" s="8">
        <f>SUM(AB8:AB10)</f>
        <v/>
      </c>
      <c r="AC11" s="7" t="n"/>
      <c r="AD11" s="8">
        <f>SUM(AD8:AD10)</f>
        <v/>
      </c>
      <c r="AE11" s="8">
        <f>SUM(AE8:AE10)</f>
        <v/>
      </c>
      <c r="AF11" s="7" t="n"/>
      <c r="AG11" s="8">
        <f>SUM(AG8:AG10)</f>
        <v/>
      </c>
      <c r="AH11" s="8">
        <f>SUM(AH8:AH10)</f>
        <v/>
      </c>
      <c r="AI11" s="7" t="n"/>
      <c r="AJ11" s="8">
        <f>SUM(AJ8:AJ10)</f>
        <v/>
      </c>
      <c r="AK11" s="8">
        <f>SUM(AK8:AK10)</f>
        <v/>
      </c>
      <c r="AL11" s="7" t="n"/>
      <c r="AM11" s="8" t="n">
        <v>38674021.55</v>
      </c>
      <c r="AN11" s="8" t="n">
        <v>37513510.66</v>
      </c>
      <c r="AO11" s="8" t="n">
        <v>15923729.7</v>
      </c>
    </row>
    <row r="12">
      <c r="A12" s="9" t="n"/>
      <c r="B12" s="9" t="inlineStr">
        <is>
          <t>очищенная</t>
        </is>
      </c>
      <c r="C12" s="10">
        <f>C11*0.8</f>
        <v/>
      </c>
      <c r="D12" s="10">
        <f>D11*0.75</f>
        <v/>
      </c>
      <c r="E12" s="10">
        <f>E11*0.75</f>
        <v/>
      </c>
      <c r="F12" s="10">
        <f>F11*0.8</f>
        <v/>
      </c>
      <c r="G12" s="10">
        <f>G11*0.75</f>
        <v/>
      </c>
      <c r="H12" s="10">
        <f>H11*0.75</f>
        <v/>
      </c>
      <c r="I12" s="10">
        <f>I11*0.8</f>
        <v/>
      </c>
      <c r="J12" s="10">
        <f>J11*0.75</f>
        <v/>
      </c>
      <c r="K12" s="10">
        <f>K11*0.75</f>
        <v/>
      </c>
      <c r="L12" s="10">
        <f>L11*0.8</f>
        <v/>
      </c>
      <c r="M12" s="10">
        <f>M11*0.75</f>
        <v/>
      </c>
      <c r="N12" s="10">
        <f>N11*0.75</f>
        <v/>
      </c>
      <c r="O12" s="10">
        <f>O11*0.8</f>
        <v/>
      </c>
      <c r="P12" s="10">
        <f>P11*0.75</f>
        <v/>
      </c>
      <c r="Q12" s="10">
        <f>Q11*0.75</f>
        <v/>
      </c>
      <c r="R12" s="10">
        <f>R11*0.8</f>
        <v/>
      </c>
      <c r="S12" s="10">
        <f>S11*0.75</f>
        <v/>
      </c>
      <c r="T12" s="9" t="n"/>
      <c r="U12" s="10">
        <f>U11*0.8</f>
        <v/>
      </c>
      <c r="V12" s="10">
        <f>V11*0.75</f>
        <v/>
      </c>
      <c r="W12" s="9" t="n"/>
      <c r="X12" s="10">
        <f>X11*0.8</f>
        <v/>
      </c>
      <c r="Y12" s="10">
        <f>Y11*0.75</f>
        <v/>
      </c>
      <c r="Z12" s="9" t="n"/>
      <c r="AA12" s="10">
        <f>AA11*0.8</f>
        <v/>
      </c>
      <c r="AB12" s="10">
        <f>AB11*0.75</f>
        <v/>
      </c>
      <c r="AC12" s="9" t="n"/>
      <c r="AD12" s="10">
        <f>AD11*0.8</f>
        <v/>
      </c>
      <c r="AE12" s="10">
        <f>AE11*0.75</f>
        <v/>
      </c>
      <c r="AF12" s="9" t="n"/>
      <c r="AG12" s="10">
        <f>AG11*0.8</f>
        <v/>
      </c>
      <c r="AH12" s="10">
        <f>AH11*0.75</f>
        <v/>
      </c>
      <c r="AI12" s="9" t="n"/>
      <c r="AJ12" s="10">
        <f>AJ11*0.8</f>
        <v/>
      </c>
      <c r="AK12" s="10">
        <f>AK11*0.75</f>
        <v/>
      </c>
      <c r="AL12" s="9" t="n"/>
      <c r="AM12" s="10">
        <f>AM11*0.8</f>
        <v/>
      </c>
      <c r="AN12" s="10">
        <f>AN11*0.75</f>
        <v/>
      </c>
      <c r="AO12" s="10">
        <f>AO11*0.75</f>
        <v/>
      </c>
    </row>
    <row r="14">
      <c r="A14" s="5" t="inlineStr">
        <is>
          <t>ООО Перспектива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</row>
    <row r="15">
      <c r="B15" t="inlineStr">
        <is>
          <t>2/2024Д</t>
        </is>
      </c>
      <c r="C15" s="6" t="n">
        <v>6933106.02</v>
      </c>
      <c r="F15" s="6" t="n">
        <v>7385106.02</v>
      </c>
      <c r="I15" s="6" t="n">
        <v>8889346.939999999</v>
      </c>
      <c r="L15" s="6" t="n">
        <v>9105120.91</v>
      </c>
      <c r="O15" s="6" t="n">
        <v>8852540.26</v>
      </c>
      <c r="R15" s="6" t="n">
        <v>8668187.58</v>
      </c>
      <c r="U15" s="6" t="n">
        <v>10053713.24</v>
      </c>
      <c r="X15" s="6" t="n">
        <v>10759454.64</v>
      </c>
      <c r="AA15" s="6" t="n">
        <v>11685245.17</v>
      </c>
      <c r="AD15" s="6" t="n">
        <v>13510366.02</v>
      </c>
      <c r="AG15" s="6" t="n">
        <v>15920952.89</v>
      </c>
      <c r="AJ15" s="6" t="n">
        <v>17990979.52</v>
      </c>
      <c r="AM15" s="6" t="n">
        <v>129754119.21</v>
      </c>
    </row>
    <row r="16">
      <c r="B16" t="inlineStr">
        <is>
          <t>20</t>
        </is>
      </c>
      <c r="C16" s="6" t="n">
        <v>857333.34</v>
      </c>
      <c r="D16" s="6" t="n">
        <v>857333.34</v>
      </c>
      <c r="E16" s="6" t="n">
        <v>843278.7</v>
      </c>
      <c r="F16" s="6" t="n">
        <v>857333.34</v>
      </c>
      <c r="G16" s="6" t="n">
        <v>857333.34</v>
      </c>
      <c r="H16" s="6" t="n">
        <v>843278.7</v>
      </c>
      <c r="I16" s="6" t="n">
        <v>857333.34</v>
      </c>
      <c r="J16" s="6" t="n">
        <v>857333.34</v>
      </c>
      <c r="K16" s="6" t="n">
        <v>843278.7</v>
      </c>
      <c r="L16" s="6" t="n">
        <v>857333.34</v>
      </c>
      <c r="M16" s="6" t="n">
        <v>857333.34</v>
      </c>
      <c r="N16" s="6" t="n">
        <v>843278.7</v>
      </c>
      <c r="O16" s="6" t="n">
        <v>857333.34</v>
      </c>
      <c r="P16" s="6" t="n">
        <v>857333.34</v>
      </c>
      <c r="Q16" s="6" t="n">
        <v>843278.7</v>
      </c>
      <c r="R16" s="6" t="n">
        <v>857333.34</v>
      </c>
      <c r="S16" s="6" t="n">
        <v>857333.34</v>
      </c>
      <c r="U16" s="6" t="n">
        <v>857333.34</v>
      </c>
      <c r="V16" s="6" t="n">
        <v>857333.34</v>
      </c>
      <c r="X16" s="6" t="n">
        <v>857333.34</v>
      </c>
      <c r="Y16" s="6" t="n">
        <v>857333.34</v>
      </c>
      <c r="AA16" s="6" t="n">
        <v>857333.34</v>
      </c>
      <c r="AB16" s="6" t="n">
        <v>857333.34</v>
      </c>
      <c r="AD16" s="6" t="n">
        <v>857333.34</v>
      </c>
      <c r="AE16" s="6" t="n">
        <v>857333.34</v>
      </c>
      <c r="AG16" s="6" t="n">
        <v>857333.34</v>
      </c>
      <c r="AH16" s="6" t="n">
        <v>857333.34</v>
      </c>
      <c r="AJ16" s="6" t="n">
        <v>857333.34</v>
      </c>
      <c r="AK16" s="6" t="n">
        <v>857333.34</v>
      </c>
      <c r="AM16" s="6" t="n">
        <v>10288000.08</v>
      </c>
      <c r="AN16" s="6" t="n">
        <v>10288000.08</v>
      </c>
      <c r="AO16" s="6" t="n">
        <v>4216393.5</v>
      </c>
    </row>
    <row r="17">
      <c r="B17" t="inlineStr">
        <is>
          <t>3/2024Д</t>
        </is>
      </c>
      <c r="C17" s="6" t="n">
        <v>398319.83</v>
      </c>
      <c r="F17" s="6" t="n">
        <v>398319.83</v>
      </c>
      <c r="I17" s="6" t="n">
        <v>398319.83</v>
      </c>
      <c r="L17" s="6" t="n">
        <v>398319.83</v>
      </c>
      <c r="O17" s="6" t="n">
        <v>398319.83</v>
      </c>
      <c r="R17" s="6" t="n">
        <v>398319.83</v>
      </c>
      <c r="U17" s="6" t="n">
        <v>398319.83</v>
      </c>
      <c r="X17" s="6" t="n">
        <v>398319.83</v>
      </c>
      <c r="AA17" s="6" t="n">
        <v>393319.83</v>
      </c>
      <c r="AD17" s="6" t="n">
        <v>397069.83</v>
      </c>
      <c r="AG17" s="6" t="n">
        <v>397069.83</v>
      </c>
      <c r="AJ17" s="6" t="n">
        <v>397069.83</v>
      </c>
      <c r="AM17" s="6" t="n">
        <v>4771087.96</v>
      </c>
    </row>
    <row r="18">
      <c r="B18" t="inlineStr">
        <is>
          <t>4/2024Д</t>
        </is>
      </c>
      <c r="C18" s="6" t="n">
        <v>7679979.2</v>
      </c>
      <c r="F18" s="6" t="n">
        <v>7760951.35</v>
      </c>
      <c r="I18" s="6" t="n">
        <v>7760951.35</v>
      </c>
      <c r="L18" s="6" t="n">
        <v>7760951.35</v>
      </c>
      <c r="O18" s="6" t="n">
        <v>7978416.98</v>
      </c>
      <c r="R18" s="6" t="n">
        <v>8278598.27</v>
      </c>
      <c r="U18" s="6" t="n">
        <v>8331824.08</v>
      </c>
      <c r="X18" s="6" t="n">
        <v>8265711.71</v>
      </c>
      <c r="AA18" s="6" t="n">
        <v>8192859.37</v>
      </c>
      <c r="AD18" s="6" t="n">
        <v>8160256.6</v>
      </c>
      <c r="AG18" s="6" t="n">
        <v>8160256.6</v>
      </c>
      <c r="AJ18" s="6" t="n">
        <v>8127256.6</v>
      </c>
      <c r="AM18" s="6" t="n">
        <v>96458013.45999998</v>
      </c>
    </row>
    <row r="19">
      <c r="B19" t="inlineStr">
        <is>
          <t>55/2023Д</t>
        </is>
      </c>
      <c r="C19" s="6" t="n">
        <v>950857.36</v>
      </c>
      <c r="D19" s="6" t="n">
        <v>950857.36</v>
      </c>
      <c r="F19" s="6" t="n">
        <v>950857.36</v>
      </c>
      <c r="G19" s="6" t="n">
        <v>950857.36</v>
      </c>
      <c r="I19" s="6" t="n">
        <v>950857.36</v>
      </c>
      <c r="J19" s="6" t="n">
        <v>950857.36</v>
      </c>
      <c r="L19" s="6" t="n">
        <v>950857.36</v>
      </c>
      <c r="M19" s="6" t="n">
        <v>950857.36</v>
      </c>
      <c r="O19" s="6" t="n">
        <v>950857.36</v>
      </c>
      <c r="P19" s="6" t="n">
        <v>950857.36</v>
      </c>
      <c r="R19" s="6" t="n">
        <v>950857.36</v>
      </c>
      <c r="S19" s="6" t="n">
        <v>950857.36</v>
      </c>
      <c r="U19" s="6" t="n">
        <v>950857.36</v>
      </c>
      <c r="V19" s="6" t="n">
        <v>950857.36</v>
      </c>
      <c r="X19" s="6" t="n">
        <v>950857.36</v>
      </c>
      <c r="Y19" s="6" t="n">
        <v>471250</v>
      </c>
      <c r="AA19" s="6" t="n">
        <v>950857.36</v>
      </c>
      <c r="AB19" s="6" t="n">
        <v>471250</v>
      </c>
      <c r="AD19" s="6" t="n">
        <v>950857.36</v>
      </c>
      <c r="AE19" s="6" t="n">
        <v>212822.58</v>
      </c>
      <c r="AG19" s="6" t="n">
        <v>950857.36</v>
      </c>
      <c r="AJ19" s="6" t="n">
        <v>950857.36</v>
      </c>
      <c r="AM19" s="6" t="n">
        <v>11410288.32</v>
      </c>
      <c r="AN19" s="6" t="n">
        <v>7811324.100000001</v>
      </c>
    </row>
    <row r="20">
      <c r="B20" t="inlineStr">
        <is>
          <t>2/2025Д</t>
        </is>
      </c>
      <c r="D20" s="6" t="n">
        <v>21111075.05</v>
      </c>
      <c r="G20" s="6" t="n">
        <v>22310997.33</v>
      </c>
      <c r="J20" s="6" t="n">
        <v>23088587.77</v>
      </c>
      <c r="M20" s="6" t="n">
        <v>24999357.42</v>
      </c>
      <c r="P20" s="6" t="n">
        <v>27720029.4</v>
      </c>
      <c r="S20" s="6" t="n">
        <v>30913946.37</v>
      </c>
      <c r="V20" s="6" t="n">
        <v>30713237.28</v>
      </c>
      <c r="Y20" s="6" t="n">
        <v>31149659.76</v>
      </c>
      <c r="AB20" s="6" t="n">
        <v>32050358.13</v>
      </c>
      <c r="AE20" s="6" t="n">
        <v>32013123.01</v>
      </c>
      <c r="AH20" s="6" t="n">
        <v>32429020.21</v>
      </c>
      <c r="AK20" s="6" t="n">
        <v>35487282.35</v>
      </c>
      <c r="AN20" s="6" t="n">
        <v>343986674.08</v>
      </c>
    </row>
    <row r="21">
      <c r="B21" t="inlineStr">
        <is>
          <t>3/2025Д</t>
        </is>
      </c>
      <c r="D21" s="6" t="n">
        <v>397069.83</v>
      </c>
      <c r="G21" s="6" t="n">
        <v>397069.83</v>
      </c>
      <c r="J21" s="6" t="n">
        <v>397069.83</v>
      </c>
      <c r="M21" s="6" t="n">
        <v>397069.83</v>
      </c>
      <c r="P21" s="6" t="n">
        <v>397069.83</v>
      </c>
      <c r="S21" s="6" t="n">
        <v>397069.83</v>
      </c>
      <c r="V21" s="6" t="n">
        <v>397069.83</v>
      </c>
      <c r="Y21" s="6" t="n">
        <v>397069.83</v>
      </c>
      <c r="AB21" s="6" t="n">
        <v>397069.83</v>
      </c>
      <c r="AE21" s="6" t="n">
        <v>397069.83</v>
      </c>
      <c r="AH21" s="6" t="n">
        <v>397069.83</v>
      </c>
      <c r="AK21" s="6" t="n">
        <v>397069.83</v>
      </c>
      <c r="AN21" s="6" t="n">
        <v>4764837.96</v>
      </c>
    </row>
    <row r="22">
      <c r="B22" t="inlineStr">
        <is>
          <t>4/2025Д</t>
        </is>
      </c>
      <c r="D22" s="6" t="n">
        <v>8127256.6</v>
      </c>
      <c r="G22" s="6" t="n">
        <v>8117166.72</v>
      </c>
      <c r="J22" s="6" t="n">
        <v>8114973.27</v>
      </c>
      <c r="M22" s="6" t="n">
        <v>8601723.27</v>
      </c>
      <c r="P22" s="6" t="n">
        <v>8704567.35</v>
      </c>
      <c r="S22" s="6" t="n">
        <v>9239585.76</v>
      </c>
      <c r="V22" s="6" t="n">
        <v>9656848</v>
      </c>
      <c r="Y22" s="6" t="n">
        <v>10233692.72</v>
      </c>
      <c r="AB22" s="6" t="n">
        <v>10478983.26</v>
      </c>
      <c r="AE22" s="6" t="n">
        <v>11994581.38</v>
      </c>
      <c r="AH22" s="6" t="n">
        <v>13985217.67</v>
      </c>
      <c r="AK22" s="6" t="n">
        <v>13985217.67</v>
      </c>
      <c r="AN22" s="6" t="n">
        <v>121239813.67</v>
      </c>
    </row>
    <row r="23">
      <c r="B23" t="inlineStr">
        <is>
          <t>46/2025Д</t>
        </is>
      </c>
      <c r="AK23" s="6" t="n">
        <v>558104.72</v>
      </c>
      <c r="AN23" s="6" t="n">
        <v>558104.72</v>
      </c>
    </row>
    <row r="24">
      <c r="B24" t="inlineStr">
        <is>
          <t>1/2026Д</t>
        </is>
      </c>
      <c r="E24" s="6" t="n">
        <v>548955.47</v>
      </c>
      <c r="H24" s="6" t="n">
        <v>548955.47</v>
      </c>
      <c r="K24" s="6" t="n">
        <v>548955.47</v>
      </c>
      <c r="N24" s="6" t="n">
        <v>548955.47</v>
      </c>
      <c r="Q24" s="6" t="n">
        <v>548955.47</v>
      </c>
      <c r="AO24" s="6" t="n">
        <v>2744777.35</v>
      </c>
    </row>
    <row r="25">
      <c r="B25" t="inlineStr">
        <is>
          <t>2/2026Д</t>
        </is>
      </c>
      <c r="E25" s="6" t="n">
        <v>34905523.6</v>
      </c>
      <c r="H25" s="6" t="n">
        <v>34905523.6</v>
      </c>
      <c r="K25" s="6" t="n">
        <v>36175846.46</v>
      </c>
      <c r="N25" s="6" t="n">
        <v>36175846.46</v>
      </c>
      <c r="Q25" s="6" t="n">
        <v>36175846.46</v>
      </c>
      <c r="AO25" s="6" t="n">
        <v>178338586.58</v>
      </c>
    </row>
    <row r="26">
      <c r="B26" t="inlineStr">
        <is>
          <t>3/2026Д</t>
        </is>
      </c>
      <c r="E26" s="6" t="n">
        <v>390560.49</v>
      </c>
      <c r="H26" s="6" t="n">
        <v>390560.49</v>
      </c>
      <c r="K26" s="6" t="n">
        <v>390560.49</v>
      </c>
      <c r="N26" s="6" t="n">
        <v>390560.49</v>
      </c>
      <c r="Q26" s="6" t="n">
        <v>390560.49</v>
      </c>
      <c r="AO26" s="6" t="n">
        <v>1952802.45</v>
      </c>
    </row>
    <row r="27">
      <c r="B27" t="inlineStr">
        <is>
          <t>4/2026Д</t>
        </is>
      </c>
      <c r="E27" s="6" t="n">
        <v>14421212.97</v>
      </c>
      <c r="H27" s="6" t="n">
        <v>17193134.34</v>
      </c>
      <c r="K27" s="6" t="n">
        <v>17193134.34</v>
      </c>
      <c r="N27" s="6" t="n">
        <v>17193134.34</v>
      </c>
      <c r="Q27" s="6" t="n">
        <v>17248908.59</v>
      </c>
      <c r="AO27" s="6" t="n">
        <v>83249524.58000001</v>
      </c>
    </row>
    <row r="28">
      <c r="A28" s="7" t="n"/>
      <c r="B28" s="7" t="inlineStr">
        <is>
          <t>Итого</t>
        </is>
      </c>
      <c r="C28" s="8">
        <f>SUM(C15:C27)</f>
        <v/>
      </c>
      <c r="D28" s="8">
        <f>SUM(D15:D27)</f>
        <v/>
      </c>
      <c r="E28" s="8">
        <f>SUM(E15:E27)</f>
        <v/>
      </c>
      <c r="F28" s="8">
        <f>SUM(F15:F27)</f>
        <v/>
      </c>
      <c r="G28" s="8">
        <f>SUM(G15:G27)</f>
        <v/>
      </c>
      <c r="H28" s="8">
        <f>SUM(H15:H27)</f>
        <v/>
      </c>
      <c r="I28" s="8">
        <f>SUM(I15:I27)</f>
        <v/>
      </c>
      <c r="J28" s="8">
        <f>SUM(J15:J27)</f>
        <v/>
      </c>
      <c r="K28" s="8">
        <f>SUM(K15:K27)</f>
        <v/>
      </c>
      <c r="L28" s="8">
        <f>SUM(L15:L27)</f>
        <v/>
      </c>
      <c r="M28" s="8">
        <f>SUM(M15:M27)</f>
        <v/>
      </c>
      <c r="N28" s="8">
        <f>SUM(N15:N27)</f>
        <v/>
      </c>
      <c r="O28" s="8">
        <f>SUM(O15:O27)</f>
        <v/>
      </c>
      <c r="P28" s="8">
        <f>SUM(P15:P27)</f>
        <v/>
      </c>
      <c r="Q28" s="8">
        <f>SUM(Q15:Q27)</f>
        <v/>
      </c>
      <c r="R28" s="8">
        <f>SUM(R15:R27)</f>
        <v/>
      </c>
      <c r="S28" s="8">
        <f>SUM(S15:S27)</f>
        <v/>
      </c>
      <c r="T28" s="7" t="n"/>
      <c r="U28" s="8">
        <f>SUM(U15:U27)</f>
        <v/>
      </c>
      <c r="V28" s="8">
        <f>SUM(V15:V27)</f>
        <v/>
      </c>
      <c r="W28" s="7" t="n"/>
      <c r="X28" s="8">
        <f>SUM(X15:X27)</f>
        <v/>
      </c>
      <c r="Y28" s="8">
        <f>SUM(Y15:Y27)</f>
        <v/>
      </c>
      <c r="Z28" s="7" t="n"/>
      <c r="AA28" s="8">
        <f>SUM(AA15:AA27)</f>
        <v/>
      </c>
      <c r="AB28" s="8">
        <f>SUM(AB15:AB27)</f>
        <v/>
      </c>
      <c r="AC28" s="7" t="n"/>
      <c r="AD28" s="8">
        <f>SUM(AD15:AD27)</f>
        <v/>
      </c>
      <c r="AE28" s="8">
        <f>SUM(AE15:AE27)</f>
        <v/>
      </c>
      <c r="AF28" s="7" t="n"/>
      <c r="AG28" s="8">
        <f>SUM(AG15:AG27)</f>
        <v/>
      </c>
      <c r="AH28" s="8">
        <f>SUM(AH15:AH27)</f>
        <v/>
      </c>
      <c r="AI28" s="7" t="n"/>
      <c r="AJ28" s="8">
        <f>SUM(AJ15:AJ27)</f>
        <v/>
      </c>
      <c r="AK28" s="8">
        <f>SUM(AK15:AK27)</f>
        <v/>
      </c>
      <c r="AL28" s="7" t="n"/>
      <c r="AM28" s="8" t="n">
        <v>252681509.0300003</v>
      </c>
      <c r="AN28" s="8" t="n">
        <v>488648754.6099999</v>
      </c>
      <c r="AO28" s="8" t="n">
        <v>270502084.4600001</v>
      </c>
    </row>
    <row r="29">
      <c r="A29" s="9" t="n"/>
      <c r="B29" s="9" t="inlineStr">
        <is>
          <t>очищенная</t>
        </is>
      </c>
      <c r="C29" s="10">
        <f>C28*0.8</f>
        <v/>
      </c>
      <c r="D29" s="10">
        <f>D28*0.75</f>
        <v/>
      </c>
      <c r="E29" s="10">
        <f>E28*0.75</f>
        <v/>
      </c>
      <c r="F29" s="10">
        <f>F28*0.8</f>
        <v/>
      </c>
      <c r="G29" s="10">
        <f>G28*0.75</f>
        <v/>
      </c>
      <c r="H29" s="10">
        <f>H28*0.75</f>
        <v/>
      </c>
      <c r="I29" s="10">
        <f>I28*0.8</f>
        <v/>
      </c>
      <c r="J29" s="10">
        <f>J28*0.75</f>
        <v/>
      </c>
      <c r="K29" s="10">
        <f>K28*0.75</f>
        <v/>
      </c>
      <c r="L29" s="10">
        <f>L28*0.8</f>
        <v/>
      </c>
      <c r="M29" s="10">
        <f>M28*0.75</f>
        <v/>
      </c>
      <c r="N29" s="10">
        <f>N28*0.75</f>
        <v/>
      </c>
      <c r="O29" s="10">
        <f>O28*0.8</f>
        <v/>
      </c>
      <c r="P29" s="10">
        <f>P28*0.75</f>
        <v/>
      </c>
      <c r="Q29" s="10">
        <f>Q28*0.75</f>
        <v/>
      </c>
      <c r="R29" s="10">
        <f>R28*0.8</f>
        <v/>
      </c>
      <c r="S29" s="10">
        <f>S28*0.75</f>
        <v/>
      </c>
      <c r="T29" s="9" t="n"/>
      <c r="U29" s="10">
        <f>U28*0.8</f>
        <v/>
      </c>
      <c r="V29" s="10">
        <f>V28*0.75</f>
        <v/>
      </c>
      <c r="W29" s="9" t="n"/>
      <c r="X29" s="10">
        <f>X28*0.8</f>
        <v/>
      </c>
      <c r="Y29" s="10">
        <f>Y28*0.75</f>
        <v/>
      </c>
      <c r="Z29" s="9" t="n"/>
      <c r="AA29" s="10">
        <f>AA28*0.8</f>
        <v/>
      </c>
      <c r="AB29" s="10">
        <f>AB28*0.75</f>
        <v/>
      </c>
      <c r="AC29" s="9" t="n"/>
      <c r="AD29" s="10">
        <f>AD28*0.8</f>
        <v/>
      </c>
      <c r="AE29" s="10">
        <f>AE28*0.75</f>
        <v/>
      </c>
      <c r="AF29" s="9" t="n"/>
      <c r="AG29" s="10">
        <f>AG28*0.8</f>
        <v/>
      </c>
      <c r="AH29" s="10">
        <f>AH28*0.75</f>
        <v/>
      </c>
      <c r="AI29" s="9" t="n"/>
      <c r="AJ29" s="10">
        <f>AJ28*0.8</f>
        <v/>
      </c>
      <c r="AK29" s="10">
        <f>AK28*0.75</f>
        <v/>
      </c>
      <c r="AL29" s="9" t="n"/>
      <c r="AM29" s="10">
        <f>AM28*0.8</f>
        <v/>
      </c>
      <c r="AN29" s="10">
        <f>AN28*0.75</f>
        <v/>
      </c>
      <c r="AO29" s="10">
        <f>AO28*0.75</f>
        <v/>
      </c>
    </row>
    <row r="31">
      <c r="A31" s="5" t="inlineStr">
        <is>
          <t>Итого по всем арендодателям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</row>
    <row r="32">
      <c r="A32" s="7" t="n"/>
      <c r="B32" s="7" t="inlineStr">
        <is>
          <t>Итого</t>
        </is>
      </c>
      <c r="C32" s="8">
        <f>SUM(C8:C10,C15:C27)</f>
        <v/>
      </c>
      <c r="D32" s="8">
        <f>SUM(D8:D10,D15:D27)</f>
        <v/>
      </c>
      <c r="E32" s="8">
        <f>SUM(E8:E10,E15:E27)</f>
        <v/>
      </c>
      <c r="F32" s="8">
        <f>SUM(F8:F10,F15:F27)</f>
        <v/>
      </c>
      <c r="G32" s="8">
        <f>SUM(G8:G10,G15:G27)</f>
        <v/>
      </c>
      <c r="H32" s="8">
        <f>SUM(H8:H10,H15:H27)</f>
        <v/>
      </c>
      <c r="I32" s="8">
        <f>SUM(I8:I10,I15:I27)</f>
        <v/>
      </c>
      <c r="J32" s="8">
        <f>SUM(J8:J10,J15:J27)</f>
        <v/>
      </c>
      <c r="K32" s="8">
        <f>SUM(K8:K10,K15:K27)</f>
        <v/>
      </c>
      <c r="L32" s="8">
        <f>SUM(L8:L10,L15:L27)</f>
        <v/>
      </c>
      <c r="M32" s="8">
        <f>SUM(M8:M10,M15:M27)</f>
        <v/>
      </c>
      <c r="N32" s="8">
        <f>SUM(N8:N10,N15:N27)</f>
        <v/>
      </c>
      <c r="O32" s="8">
        <f>SUM(O8:O10,O15:O27)</f>
        <v/>
      </c>
      <c r="P32" s="8">
        <f>SUM(P8:P10,P15:P27)</f>
        <v/>
      </c>
      <c r="Q32" s="8">
        <f>SUM(Q8:Q10,Q15:Q27)</f>
        <v/>
      </c>
      <c r="R32" s="8">
        <f>SUM(R8:R10,R15:R27)</f>
        <v/>
      </c>
      <c r="S32" s="8">
        <f>SUM(S8:S10,S15:S27)</f>
        <v/>
      </c>
      <c r="T32" s="7" t="n"/>
      <c r="U32" s="8">
        <f>SUM(U8:U10,U15:U27)</f>
        <v/>
      </c>
      <c r="V32" s="8">
        <f>SUM(V8:V10,V15:V27)</f>
        <v/>
      </c>
      <c r="W32" s="7" t="n"/>
      <c r="X32" s="8">
        <f>SUM(X8:X10,X15:X27)</f>
        <v/>
      </c>
      <c r="Y32" s="8">
        <f>SUM(Y8:Y10,Y15:Y27)</f>
        <v/>
      </c>
      <c r="Z32" s="7" t="n"/>
      <c r="AA32" s="8">
        <f>SUM(AA8:AA10,AA15:AA27)</f>
        <v/>
      </c>
      <c r="AB32" s="8">
        <f>SUM(AB8:AB10,AB15:AB27)</f>
        <v/>
      </c>
      <c r="AC32" s="7" t="n"/>
      <c r="AD32" s="8">
        <f>SUM(AD8:AD10,AD15:AD27)</f>
        <v/>
      </c>
      <c r="AE32" s="8">
        <f>SUM(AE8:AE10,AE15:AE27)</f>
        <v/>
      </c>
      <c r="AF32" s="7" t="n"/>
      <c r="AG32" s="8">
        <f>SUM(AG8:AG10,AG15:AG27)</f>
        <v/>
      </c>
      <c r="AH32" s="8">
        <f>SUM(AH8:AH10,AH15:AH27)</f>
        <v/>
      </c>
      <c r="AI32" s="7" t="n"/>
      <c r="AJ32" s="8">
        <f>SUM(AJ8:AJ10,AJ15:AJ27)</f>
        <v/>
      </c>
      <c r="AK32" s="8">
        <f>SUM(AK8:AK10,AK15:AK27)</f>
        <v/>
      </c>
      <c r="AL32" s="7" t="n"/>
      <c r="AM32" s="8" t="n">
        <v>291355530.5800003</v>
      </c>
      <c r="AN32" s="8" t="n">
        <v>526162265.2699999</v>
      </c>
      <c r="AO32" s="8" t="n">
        <v>286425814.1600001</v>
      </c>
    </row>
    <row r="33">
      <c r="A33" s="9" t="n"/>
      <c r="B33" s="9" t="inlineStr">
        <is>
          <t>очищенная</t>
        </is>
      </c>
      <c r="C33" s="10">
        <f>C32*0.8</f>
        <v/>
      </c>
      <c r="D33" s="10">
        <f>D32*0.75</f>
        <v/>
      </c>
      <c r="E33" s="10">
        <f>E32*0.75</f>
        <v/>
      </c>
      <c r="F33" s="10">
        <f>F32*0.8</f>
        <v/>
      </c>
      <c r="G33" s="10">
        <f>G32*0.75</f>
        <v/>
      </c>
      <c r="H33" s="10">
        <f>H32*0.75</f>
        <v/>
      </c>
      <c r="I33" s="10">
        <f>I32*0.8</f>
        <v/>
      </c>
      <c r="J33" s="10">
        <f>J32*0.75</f>
        <v/>
      </c>
      <c r="K33" s="10">
        <f>K32*0.75</f>
        <v/>
      </c>
      <c r="L33" s="10">
        <f>L32*0.8</f>
        <v/>
      </c>
      <c r="M33" s="10">
        <f>M32*0.75</f>
        <v/>
      </c>
      <c r="N33" s="10">
        <f>N32*0.75</f>
        <v/>
      </c>
      <c r="O33" s="10">
        <f>O32*0.8</f>
        <v/>
      </c>
      <c r="P33" s="10">
        <f>P32*0.75</f>
        <v/>
      </c>
      <c r="Q33" s="10">
        <f>Q32*0.75</f>
        <v/>
      </c>
      <c r="R33" s="10">
        <f>R32*0.8</f>
        <v/>
      </c>
      <c r="S33" s="10">
        <f>S32*0.75</f>
        <v/>
      </c>
      <c r="T33" s="9" t="n"/>
      <c r="U33" s="10">
        <f>U32*0.8</f>
        <v/>
      </c>
      <c r="V33" s="10">
        <f>V32*0.75</f>
        <v/>
      </c>
      <c r="W33" s="9" t="n"/>
      <c r="X33" s="10">
        <f>X32*0.8</f>
        <v/>
      </c>
      <c r="Y33" s="10">
        <f>Y32*0.75</f>
        <v/>
      </c>
      <c r="Z33" s="9" t="n"/>
      <c r="AA33" s="10">
        <f>AA32*0.8</f>
        <v/>
      </c>
      <c r="AB33" s="10">
        <f>AB32*0.75</f>
        <v/>
      </c>
      <c r="AC33" s="9" t="n"/>
      <c r="AD33" s="10">
        <f>AD32*0.8</f>
        <v/>
      </c>
      <c r="AE33" s="10">
        <f>AE32*0.75</f>
        <v/>
      </c>
      <c r="AF33" s="9" t="n"/>
      <c r="AG33" s="10">
        <f>AG32*0.8</f>
        <v/>
      </c>
      <c r="AH33" s="10">
        <f>AH32*0.75</f>
        <v/>
      </c>
      <c r="AI33" s="9" t="n"/>
      <c r="AJ33" s="10">
        <f>AJ32*0.8</f>
        <v/>
      </c>
      <c r="AK33" s="10">
        <f>AK32*0.75</f>
        <v/>
      </c>
      <c r="AL33" s="9" t="n"/>
      <c r="AM33" s="10">
        <f>AM32*0.8</f>
        <v/>
      </c>
      <c r="AN33" s="10">
        <f>AN32*0.75</f>
        <v/>
      </c>
      <c r="AO33" s="10">
        <f>AO32*0.75</f>
        <v/>
      </c>
    </row>
  </sheetData>
  <mergeCells count="17">
    <mergeCell ref="D1:AL1"/>
    <mergeCell ref="C2:AL2"/>
    <mergeCell ref="R3:T3"/>
    <mergeCell ref="U3:W3"/>
    <mergeCell ref="B2:B5"/>
    <mergeCell ref="A2:A5"/>
    <mergeCell ref="C3:E3"/>
    <mergeCell ref="AD3:AF3"/>
    <mergeCell ref="X3:Z3"/>
    <mergeCell ref="AG3:AI3"/>
    <mergeCell ref="AJ3:AL3"/>
    <mergeCell ref="I3:K3"/>
    <mergeCell ref="F3:H3"/>
    <mergeCell ref="L3:N3"/>
    <mergeCell ref="AA3:AC3"/>
    <mergeCell ref="O3:Q3"/>
    <mergeCell ref="AM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2026-07-02T19:55:46Z</dcterms:created>
  <dcterms:modified xsi:type="dcterms:W3CDTF">2026-07-02T19:55:46Z</dcterms:modified>
</cp:coreProperties>
</file>