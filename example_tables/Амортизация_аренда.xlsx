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ен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9DC3E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</border>
    <border>
      <left/>
      <right/>
      <top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6" pivotButton="0" quotePrefix="0" xfId="0"/>
    <xf numFmtId="164" fontId="1" fillId="0" borderId="6" pivotButton="0" quotePrefix="0" xfId="0"/>
    <xf numFmtId="0" fontId="1" fillId="0" borderId="7" pivotButton="0" quotePrefix="0" xfId="0"/>
    <xf numFmtId="164" fontId="1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D1" t="inlineStr">
        <is>
          <t>Арендодатели</t>
        </is>
      </c>
      <c r="AM1" s="1" t="inlineStr">
        <is>
          <t>ИТОГО</t>
        </is>
      </c>
    </row>
    <row r="2">
      <c r="A2" t="inlineStr">
        <is>
          <t>Контрагент</t>
        </is>
      </c>
      <c r="B2" t="inlineStr">
        <is>
          <t>Номера Договоров</t>
        </is>
      </c>
      <c r="C2" t="inlineStr">
        <is>
          <t>По арендованному имуществу</t>
        </is>
      </c>
    </row>
    <row r="3">
      <c r="C3" s="2" t="inlineStr">
        <is>
          <t>январь</t>
        </is>
      </c>
      <c r="D3" s="3" t="n"/>
      <c r="E3" s="4" t="n"/>
      <c r="F3" s="2" t="inlineStr">
        <is>
          <t>февраль</t>
        </is>
      </c>
      <c r="G3" s="3" t="n"/>
      <c r="H3" s="4" t="n"/>
      <c r="I3" s="2" t="inlineStr">
        <is>
          <t>март</t>
        </is>
      </c>
      <c r="J3" s="3" t="n"/>
      <c r="K3" s="4" t="n"/>
      <c r="L3" s="2" t="inlineStr">
        <is>
          <t>апрель</t>
        </is>
      </c>
      <c r="M3" s="3" t="n"/>
      <c r="N3" s="4" t="n"/>
      <c r="O3" s="2" t="inlineStr">
        <is>
          <t>май</t>
        </is>
      </c>
      <c r="P3" s="3" t="n"/>
      <c r="Q3" s="4" t="n"/>
      <c r="R3" s="2" t="inlineStr">
        <is>
          <t>июнь</t>
        </is>
      </c>
      <c r="S3" s="3" t="n"/>
      <c r="T3" s="4" t="n"/>
      <c r="U3" s="2" t="inlineStr">
        <is>
          <t>июль</t>
        </is>
      </c>
      <c r="V3" s="3" t="n"/>
      <c r="W3" s="4" t="n"/>
      <c r="X3" s="2" t="inlineStr">
        <is>
          <t>август</t>
        </is>
      </c>
      <c r="Y3" s="3" t="n"/>
      <c r="Z3" s="4" t="n"/>
      <c r="AA3" s="2" t="inlineStr">
        <is>
          <t>сентябрь</t>
        </is>
      </c>
      <c r="AB3" s="3" t="n"/>
      <c r="AC3" s="4" t="n"/>
      <c r="AD3" s="2" t="inlineStr">
        <is>
          <t>октябрь</t>
        </is>
      </c>
      <c r="AE3" s="3" t="n"/>
      <c r="AF3" s="4" t="n"/>
      <c r="AG3" s="2" t="inlineStr">
        <is>
          <t>ноябрь</t>
        </is>
      </c>
      <c r="AH3" s="3" t="n"/>
      <c r="AI3" s="4" t="n"/>
      <c r="AJ3" s="2" t="inlineStr">
        <is>
          <t>декабрь</t>
        </is>
      </c>
      <c r="AK3" s="3" t="n"/>
      <c r="AL3" s="4" t="n"/>
    </row>
    <row r="4">
      <c r="C4" s="2" t="n">
        <v>2024</v>
      </c>
      <c r="D4" s="2" t="n">
        <v>2025</v>
      </c>
      <c r="E4" s="2" t="n">
        <v>2026</v>
      </c>
      <c r="F4" s="2" t="n">
        <v>2024</v>
      </c>
      <c r="G4" s="2" t="n">
        <v>2025</v>
      </c>
      <c r="H4" s="2" t="n">
        <v>2026</v>
      </c>
      <c r="I4" s="2" t="n">
        <v>2024</v>
      </c>
      <c r="J4" s="2" t="n">
        <v>2025</v>
      </c>
      <c r="K4" s="2" t="n">
        <v>2026</v>
      </c>
      <c r="L4" s="2" t="n">
        <v>2024</v>
      </c>
      <c r="M4" s="2" t="n">
        <v>2025</v>
      </c>
      <c r="N4" s="2" t="n">
        <v>2026</v>
      </c>
      <c r="O4" s="2" t="n">
        <v>2024</v>
      </c>
      <c r="P4" s="2" t="n">
        <v>2025</v>
      </c>
      <c r="Q4" s="2" t="n">
        <v>2026</v>
      </c>
      <c r="R4" s="2" t="n">
        <v>2024</v>
      </c>
      <c r="S4" s="2" t="n">
        <v>2025</v>
      </c>
      <c r="T4" s="2" t="n">
        <v>2026</v>
      </c>
      <c r="U4" s="2" t="n">
        <v>2024</v>
      </c>
      <c r="V4" s="2" t="n">
        <v>2025</v>
      </c>
      <c r="W4" s="2" t="n">
        <v>2026</v>
      </c>
      <c r="X4" s="2" t="n">
        <v>2024</v>
      </c>
      <c r="Y4" s="2" t="n">
        <v>2025</v>
      </c>
      <c r="Z4" s="2" t="n">
        <v>2026</v>
      </c>
      <c r="AA4" s="2" t="n">
        <v>2024</v>
      </c>
      <c r="AB4" s="2" t="n">
        <v>2025</v>
      </c>
      <c r="AC4" s="2" t="n">
        <v>2026</v>
      </c>
      <c r="AD4" s="2" t="n">
        <v>2024</v>
      </c>
      <c r="AE4" s="2" t="n">
        <v>2025</v>
      </c>
      <c r="AF4" s="2" t="n">
        <v>2026</v>
      </c>
      <c r="AG4" s="2" t="n">
        <v>2024</v>
      </c>
      <c r="AH4" s="2" t="n">
        <v>2025</v>
      </c>
      <c r="AI4" s="2" t="n">
        <v>2026</v>
      </c>
      <c r="AJ4" s="2" t="n">
        <v>2024</v>
      </c>
      <c r="AK4" s="2" t="n">
        <v>2025</v>
      </c>
      <c r="AL4" s="2" t="n">
        <v>2026</v>
      </c>
      <c r="AM4" s="1" t="n">
        <v>2024</v>
      </c>
      <c r="AN4" s="1" t="n">
        <v>2025</v>
      </c>
      <c r="AO4" s="1" t="n">
        <v>2026</v>
      </c>
    </row>
    <row r="5">
      <c r="C5" s="2" t="inlineStr">
        <is>
          <t>Аренда</t>
        </is>
      </c>
      <c r="D5" s="2" t="inlineStr">
        <is>
          <t>Аренда</t>
        </is>
      </c>
      <c r="E5" s="2" t="inlineStr">
        <is>
          <t>Аренда</t>
        </is>
      </c>
      <c r="F5" s="2" t="inlineStr">
        <is>
          <t>Аренда</t>
        </is>
      </c>
      <c r="G5" s="2" t="inlineStr">
        <is>
          <t>Аренда</t>
        </is>
      </c>
      <c r="H5" s="2" t="inlineStr">
        <is>
          <t>Аренда</t>
        </is>
      </c>
      <c r="I5" s="2" t="inlineStr">
        <is>
          <t>Аренда</t>
        </is>
      </c>
      <c r="J5" s="2" t="inlineStr">
        <is>
          <t>Аренда</t>
        </is>
      </c>
      <c r="K5" s="2" t="inlineStr">
        <is>
          <t>Аренда</t>
        </is>
      </c>
      <c r="L5" s="2" t="inlineStr">
        <is>
          <t>Аренда</t>
        </is>
      </c>
      <c r="M5" s="2" t="inlineStr">
        <is>
          <t>Аренда</t>
        </is>
      </c>
      <c r="N5" s="2" t="inlineStr">
        <is>
          <t>Аренда</t>
        </is>
      </c>
      <c r="O5" s="2" t="inlineStr">
        <is>
          <t>Аренда</t>
        </is>
      </c>
      <c r="P5" s="2" t="inlineStr">
        <is>
          <t>Аренда</t>
        </is>
      </c>
      <c r="Q5" s="2" t="inlineStr">
        <is>
          <t>Аренда</t>
        </is>
      </c>
      <c r="R5" s="2" t="inlineStr">
        <is>
          <t>Аренда</t>
        </is>
      </c>
      <c r="S5" s="2" t="inlineStr">
        <is>
          <t>Аренда</t>
        </is>
      </c>
      <c r="T5" s="2" t="inlineStr">
        <is>
          <t>Аренда</t>
        </is>
      </c>
      <c r="U5" s="2" t="inlineStr">
        <is>
          <t>Аренда</t>
        </is>
      </c>
      <c r="V5" s="2" t="inlineStr">
        <is>
          <t>Аренда</t>
        </is>
      </c>
      <c r="W5" s="2" t="inlineStr">
        <is>
          <t>Аренда</t>
        </is>
      </c>
      <c r="X5" s="2" t="inlineStr">
        <is>
          <t>Аренда</t>
        </is>
      </c>
      <c r="Y5" s="2" t="inlineStr">
        <is>
          <t>Аренда</t>
        </is>
      </c>
      <c r="Z5" s="2" t="inlineStr">
        <is>
          <t>Аренда</t>
        </is>
      </c>
      <c r="AA5" s="2" t="inlineStr">
        <is>
          <t>Аренда</t>
        </is>
      </c>
      <c r="AB5" s="2" t="inlineStr">
        <is>
          <t>Аренда</t>
        </is>
      </c>
      <c r="AC5" s="2" t="inlineStr">
        <is>
          <t>Аренда</t>
        </is>
      </c>
      <c r="AD5" s="2" t="inlineStr">
        <is>
          <t>Аренда</t>
        </is>
      </c>
      <c r="AE5" s="2" t="inlineStr">
        <is>
          <t>Аренда</t>
        </is>
      </c>
      <c r="AF5" s="2" t="inlineStr">
        <is>
          <t>Аренда</t>
        </is>
      </c>
      <c r="AG5" s="2" t="inlineStr">
        <is>
          <t>Аренда</t>
        </is>
      </c>
      <c r="AH5" s="2" t="inlineStr">
        <is>
          <t>Аренда</t>
        </is>
      </c>
      <c r="AI5" s="2" t="inlineStr">
        <is>
          <t>Аренда</t>
        </is>
      </c>
      <c r="AJ5" s="2" t="inlineStr">
        <is>
          <t>Аренда</t>
        </is>
      </c>
      <c r="AK5" s="2" t="inlineStr">
        <is>
          <t>Аренда</t>
        </is>
      </c>
      <c r="AL5" s="2" t="inlineStr">
        <is>
          <t>Аренда</t>
        </is>
      </c>
      <c r="AM5" s="1" t="inlineStr">
        <is>
          <t>ИТОГО</t>
        </is>
      </c>
      <c r="AN5" s="1" t="inlineStr">
        <is>
          <t>ИТОГО</t>
        </is>
      </c>
      <c r="AO5" s="1" t="inlineStr">
        <is>
          <t>ИТОГО</t>
        </is>
      </c>
    </row>
    <row r="7">
      <c r="A7" s="5" t="inlineStr">
        <is>
          <t>ООО КОНТЕНТ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B8" t="inlineStr">
        <is>
          <t>31</t>
        </is>
      </c>
      <c r="C8" s="6" t="n">
        <v>53500</v>
      </c>
      <c r="F8" s="6" t="n">
        <v>53500</v>
      </c>
      <c r="I8" s="6" t="n">
        <v>53500</v>
      </c>
      <c r="L8" s="6" t="n">
        <v>53500</v>
      </c>
      <c r="O8" s="6" t="n">
        <v>53500</v>
      </c>
      <c r="R8" s="6" t="n">
        <v>53500</v>
      </c>
      <c r="U8" s="6" t="n">
        <v>53500</v>
      </c>
      <c r="X8" s="6" t="n">
        <v>53500</v>
      </c>
      <c r="AA8" s="6" t="n">
        <v>53500</v>
      </c>
      <c r="AD8" s="6" t="n">
        <v>53500</v>
      </c>
      <c r="AG8" s="6" t="n">
        <v>53500</v>
      </c>
      <c r="AJ8" s="6" t="n">
        <v>53500</v>
      </c>
      <c r="AM8" s="6" t="n">
        <v>642000</v>
      </c>
    </row>
    <row r="9">
      <c r="B9" t="inlineStr">
        <is>
          <t>32</t>
        </is>
      </c>
      <c r="C9" s="6" t="n">
        <v>19009510</v>
      </c>
      <c r="F9" s="6" t="n">
        <v>19009510</v>
      </c>
      <c r="I9" s="6" t="n">
        <v>19009510</v>
      </c>
      <c r="L9" s="6" t="n">
        <v>19161044.44</v>
      </c>
      <c r="O9" s="6" t="n">
        <v>19161044.44</v>
      </c>
      <c r="R9" s="6" t="n">
        <v>19161044.44</v>
      </c>
      <c r="U9" s="6" t="n">
        <v>18581144.44</v>
      </c>
      <c r="X9" s="6" t="n">
        <v>18581144.44</v>
      </c>
      <c r="AA9" s="6" t="n">
        <v>18581144.44</v>
      </c>
      <c r="AD9" s="6" t="n">
        <v>18581144.44</v>
      </c>
      <c r="AG9" s="6" t="n">
        <v>18581144.44</v>
      </c>
      <c r="AJ9" s="6" t="n">
        <v>18581144.44</v>
      </c>
      <c r="AM9" s="6" t="n">
        <v>225998529.96</v>
      </c>
    </row>
    <row r="10">
      <c r="B10" t="inlineStr">
        <is>
          <t>33</t>
        </is>
      </c>
      <c r="C10" s="6" t="n">
        <v>33085768.21</v>
      </c>
      <c r="F10" s="6" t="n">
        <v>33085768.21</v>
      </c>
      <c r="I10" s="6" t="n">
        <v>33085768.21</v>
      </c>
      <c r="L10" s="6" t="n">
        <v>32878000.13</v>
      </c>
      <c r="O10" s="6" t="n">
        <v>32362456.24</v>
      </c>
      <c r="R10" s="6" t="n">
        <v>34150016.4</v>
      </c>
      <c r="U10" s="6" t="n">
        <v>35611804.31</v>
      </c>
      <c r="X10" s="6" t="n">
        <v>35698901.08</v>
      </c>
      <c r="AA10" s="6" t="n">
        <v>35761804.31</v>
      </c>
      <c r="AD10" s="6" t="n">
        <v>35023937.32</v>
      </c>
      <c r="AG10" s="6" t="n">
        <v>36264694.31</v>
      </c>
      <c r="AJ10" s="6" t="n">
        <v>36821311.44</v>
      </c>
      <c r="AM10" s="6" t="n">
        <v>413830230.17</v>
      </c>
    </row>
    <row r="11">
      <c r="B11" t="inlineStr">
        <is>
          <t>34</t>
        </is>
      </c>
      <c r="D11" s="6" t="n">
        <v>1445000</v>
      </c>
      <c r="G11" s="6" t="n">
        <v>1445000</v>
      </c>
      <c r="J11" s="6" t="n">
        <v>1445000</v>
      </c>
      <c r="M11" s="6" t="n">
        <v>1445000</v>
      </c>
      <c r="P11" s="6" t="n">
        <v>1445000</v>
      </c>
      <c r="S11" s="6" t="n">
        <v>1445000</v>
      </c>
      <c r="V11" s="6" t="n">
        <v>1445000</v>
      </c>
      <c r="Y11" s="6" t="n">
        <v>1445000</v>
      </c>
      <c r="AB11" s="6" t="n">
        <v>1445000</v>
      </c>
      <c r="AD11" s="6" t="n">
        <v>592408.62</v>
      </c>
      <c r="AG11" s="6" t="n">
        <v>1325288.89</v>
      </c>
      <c r="AJ11" s="6" t="n">
        <v>1445000</v>
      </c>
      <c r="AM11" s="6" t="n">
        <v>3362697.51</v>
      </c>
      <c r="AN11" s="6" t="n">
        <v>13005000</v>
      </c>
    </row>
    <row r="12">
      <c r="B12" t="inlineStr">
        <is>
          <t>5</t>
        </is>
      </c>
      <c r="D12" s="6" t="n">
        <v>36952124.61</v>
      </c>
      <c r="G12" s="6" t="n">
        <v>37296144.19</v>
      </c>
      <c r="J12" s="6" t="n">
        <v>37322517.33</v>
      </c>
      <c r="M12" s="6" t="n">
        <v>39054235.18</v>
      </c>
      <c r="P12" s="6" t="n">
        <v>35441383.78</v>
      </c>
      <c r="S12" s="6" t="n">
        <v>33633322.6</v>
      </c>
      <c r="V12" s="6" t="n">
        <v>29505077.87</v>
      </c>
      <c r="Y12" s="6" t="n">
        <v>30469250.85</v>
      </c>
      <c r="AB12" s="6" t="n">
        <v>31133962.11</v>
      </c>
      <c r="AE12" s="6" t="n">
        <v>-43153929.42</v>
      </c>
      <c r="AH12" s="6" t="n">
        <v>32343095.34</v>
      </c>
      <c r="AK12" s="6" t="n">
        <v>32380095.32</v>
      </c>
      <c r="AN12" s="6" t="n">
        <v>332377279.76</v>
      </c>
    </row>
    <row r="13">
      <c r="B13" t="inlineStr">
        <is>
          <t>2/01.01.2025</t>
        </is>
      </c>
      <c r="D13" s="6" t="n">
        <v>53500</v>
      </c>
      <c r="G13" s="6" t="n">
        <v>53500</v>
      </c>
      <c r="J13" s="6" t="n">
        <v>53500</v>
      </c>
      <c r="M13" s="6" t="n">
        <v>53500</v>
      </c>
      <c r="AN13" s="6" t="n">
        <v>214000</v>
      </c>
    </row>
    <row r="14">
      <c r="B14" t="inlineStr">
        <is>
          <t>4</t>
        </is>
      </c>
      <c r="D14" s="6" t="n">
        <v>18674892.83</v>
      </c>
      <c r="G14" s="6" t="n">
        <v>18845344.44</v>
      </c>
      <c r="J14" s="6" t="n">
        <v>18845344.44</v>
      </c>
      <c r="M14" s="6" t="n">
        <v>18581144.44</v>
      </c>
      <c r="P14" s="6" t="n">
        <v>17086921.86</v>
      </c>
      <c r="S14" s="6" t="n">
        <v>15643439.44</v>
      </c>
      <c r="V14" s="6" t="n">
        <v>15341042.83</v>
      </c>
      <c r="Y14" s="6" t="n">
        <v>14782325.09</v>
      </c>
      <c r="AB14" s="6" t="n">
        <v>15733796.11</v>
      </c>
      <c r="AE14" s="6" t="n">
        <v>-21812007.47</v>
      </c>
      <c r="AH14" s="6" t="n">
        <v>13857814.81</v>
      </c>
      <c r="AK14" s="6" t="n">
        <v>14332114.99</v>
      </c>
      <c r="AN14" s="6" t="n">
        <v>159912173.81</v>
      </c>
    </row>
    <row r="15">
      <c r="B15" t="inlineStr">
        <is>
          <t>109</t>
        </is>
      </c>
      <c r="E15" s="6" t="n">
        <v>63114.75</v>
      </c>
      <c r="G15" s="6" t="n">
        <v>102666.67</v>
      </c>
      <c r="H15" s="6" t="n">
        <v>63114.75</v>
      </c>
      <c r="J15" s="6" t="n">
        <v>102666.67</v>
      </c>
      <c r="K15" s="6" t="n">
        <v>63114.75</v>
      </c>
      <c r="M15" s="6" t="n">
        <v>102666.67</v>
      </c>
      <c r="N15" s="6" t="n">
        <v>63114.75</v>
      </c>
      <c r="P15" s="6" t="n">
        <v>102666.67</v>
      </c>
      <c r="Q15" s="6" t="n">
        <v>63114.75</v>
      </c>
      <c r="S15" s="6" t="n">
        <v>102666.67</v>
      </c>
      <c r="V15" s="6" t="n">
        <v>102666.67</v>
      </c>
      <c r="Y15" s="6" t="n">
        <v>102666.67</v>
      </c>
      <c r="AB15" s="6" t="n">
        <v>102666.67</v>
      </c>
      <c r="AE15" s="6" t="n">
        <v>64166.67</v>
      </c>
      <c r="AH15" s="6" t="n">
        <v>64166.67</v>
      </c>
      <c r="AK15" s="6" t="n">
        <v>64166.67</v>
      </c>
      <c r="AN15" s="6" t="n">
        <v>1013833.37</v>
      </c>
      <c r="AO15" s="6" t="n">
        <v>315573.75</v>
      </c>
    </row>
    <row r="16">
      <c r="B16" t="inlineStr">
        <is>
          <t>110</t>
        </is>
      </c>
      <c r="E16" s="6" t="n">
        <v>236516.39</v>
      </c>
      <c r="G16" s="6" t="n">
        <v>384733.33</v>
      </c>
      <c r="H16" s="6" t="n">
        <v>236516.39</v>
      </c>
      <c r="J16" s="6" t="n">
        <v>384733.33</v>
      </c>
      <c r="K16" s="6" t="n">
        <v>236516.39</v>
      </c>
      <c r="M16" s="6" t="n">
        <v>384733.33</v>
      </c>
      <c r="N16" s="6" t="n">
        <v>236516.39</v>
      </c>
      <c r="P16" s="6" t="n">
        <v>384733.33</v>
      </c>
      <c r="Q16" s="6" t="n">
        <v>236516.39</v>
      </c>
      <c r="S16" s="6" t="n">
        <v>384733.33</v>
      </c>
      <c r="V16" s="6" t="n">
        <v>384733.33</v>
      </c>
      <c r="Y16" s="6" t="n">
        <v>384733.33</v>
      </c>
      <c r="AB16" s="6" t="n">
        <v>384733.33</v>
      </c>
      <c r="AE16" s="6" t="n">
        <v>240458.33</v>
      </c>
      <c r="AH16" s="6" t="n">
        <v>240458.33</v>
      </c>
      <c r="AK16" s="6" t="n">
        <v>240458.33</v>
      </c>
      <c r="AN16" s="6" t="n">
        <v>3799241.63</v>
      </c>
      <c r="AO16" s="6" t="n">
        <v>1182581.95</v>
      </c>
    </row>
    <row r="17">
      <c r="B17" t="inlineStr">
        <is>
          <t>30/01.10.2025</t>
        </is>
      </c>
      <c r="E17" s="6" t="n">
        <v>888319.67</v>
      </c>
      <c r="H17" s="6" t="n">
        <v>888319.67</v>
      </c>
      <c r="K17" s="6" t="n">
        <v>888319.67</v>
      </c>
      <c r="N17" s="6" t="n">
        <v>888319.67</v>
      </c>
      <c r="Q17" s="6" t="n">
        <v>888319.67</v>
      </c>
      <c r="AE17" s="6" t="n">
        <v>903125</v>
      </c>
      <c r="AH17" s="6" t="n">
        <v>903125</v>
      </c>
      <c r="AK17" s="6" t="n">
        <v>903125</v>
      </c>
      <c r="AN17" s="6" t="n">
        <v>2709375</v>
      </c>
      <c r="AO17" s="6" t="n">
        <v>4441598.350000001</v>
      </c>
    </row>
    <row r="18">
      <c r="B18" t="inlineStr">
        <is>
          <t>34/01.11.2025</t>
        </is>
      </c>
      <c r="E18" s="6" t="n">
        <v>52622.95</v>
      </c>
      <c r="H18" s="6" t="n">
        <v>52622.95</v>
      </c>
      <c r="K18" s="6" t="n">
        <v>52622.95</v>
      </c>
      <c r="N18" s="6" t="n">
        <v>52622.95</v>
      </c>
      <c r="Q18" s="6" t="n">
        <v>52622.95</v>
      </c>
      <c r="AH18" s="6" t="n">
        <v>53500</v>
      </c>
      <c r="AK18" s="6" t="n">
        <v>53500</v>
      </c>
      <c r="AN18" s="6" t="n">
        <v>107000</v>
      </c>
      <c r="AO18" s="6" t="n">
        <v>263114.75</v>
      </c>
    </row>
    <row r="19">
      <c r="B19" t="inlineStr">
        <is>
          <t>28/01.10.2025</t>
        </is>
      </c>
      <c r="E19" s="6" t="n">
        <v>14311567.36</v>
      </c>
      <c r="H19" s="6" t="n">
        <v>14925247.2</v>
      </c>
      <c r="K19" s="6" t="n">
        <v>14975620.77</v>
      </c>
      <c r="N19" s="6" t="n">
        <v>13230733.13</v>
      </c>
      <c r="Q19" s="6" t="n">
        <v>10112643.52</v>
      </c>
      <c r="AO19" s="6" t="n">
        <v>67555811.98</v>
      </c>
    </row>
    <row r="20">
      <c r="B20" t="inlineStr">
        <is>
          <t>29/01.10.2025</t>
        </is>
      </c>
      <c r="E20" s="6" t="n">
        <v>31940130.82</v>
      </c>
      <c r="H20" s="6" t="n">
        <v>33414604.31</v>
      </c>
      <c r="K20" s="6" t="n">
        <v>33706313.28</v>
      </c>
      <c r="N20" s="6" t="n">
        <v>32814449.47</v>
      </c>
      <c r="Q20" s="6" t="n">
        <v>32019080.01</v>
      </c>
      <c r="AO20" s="6" t="n">
        <v>163894577.89</v>
      </c>
    </row>
    <row r="21">
      <c r="A21" s="7" t="n"/>
      <c r="B21" s="7" t="inlineStr">
        <is>
          <t>Итого</t>
        </is>
      </c>
      <c r="C21" s="8">
        <f>SUM(C8:C20)</f>
        <v/>
      </c>
      <c r="D21" s="8">
        <f>SUM(D8:D20)</f>
        <v/>
      </c>
      <c r="E21" s="8">
        <f>SUM(E8:E20)</f>
        <v/>
      </c>
      <c r="F21" s="8">
        <f>SUM(F8:F20)</f>
        <v/>
      </c>
      <c r="G21" s="8">
        <f>SUM(G8:G20)</f>
        <v/>
      </c>
      <c r="H21" s="8">
        <f>SUM(H8:H20)</f>
        <v/>
      </c>
      <c r="I21" s="8">
        <f>SUM(I8:I20)</f>
        <v/>
      </c>
      <c r="J21" s="8">
        <f>SUM(J8:J20)</f>
        <v/>
      </c>
      <c r="K21" s="8">
        <f>SUM(K8:K20)</f>
        <v/>
      </c>
      <c r="L21" s="8">
        <f>SUM(L8:L20)</f>
        <v/>
      </c>
      <c r="M21" s="8">
        <f>SUM(M8:M20)</f>
        <v/>
      </c>
      <c r="N21" s="8">
        <f>SUM(N8:N20)</f>
        <v/>
      </c>
      <c r="O21" s="8">
        <f>SUM(O8:O20)</f>
        <v/>
      </c>
      <c r="P21" s="8">
        <f>SUM(P8:P20)</f>
        <v/>
      </c>
      <c r="Q21" s="8">
        <f>SUM(Q8:Q20)</f>
        <v/>
      </c>
      <c r="R21" s="8">
        <f>SUM(R8:R20)</f>
        <v/>
      </c>
      <c r="S21" s="8">
        <f>SUM(S8:S20)</f>
        <v/>
      </c>
      <c r="T21" s="7" t="n"/>
      <c r="U21" s="8">
        <f>SUM(U8:U20)</f>
        <v/>
      </c>
      <c r="V21" s="8">
        <f>SUM(V8:V20)</f>
        <v/>
      </c>
      <c r="W21" s="7" t="n"/>
      <c r="X21" s="8">
        <f>SUM(X8:X20)</f>
        <v/>
      </c>
      <c r="Y21" s="8">
        <f>SUM(Y8:Y20)</f>
        <v/>
      </c>
      <c r="Z21" s="7" t="n"/>
      <c r="AA21" s="8">
        <f>SUM(AA8:AA20)</f>
        <v/>
      </c>
      <c r="AB21" s="8">
        <f>SUM(AB8:AB20)</f>
        <v/>
      </c>
      <c r="AC21" s="7" t="n"/>
      <c r="AD21" s="8">
        <f>SUM(AD8:AD20)</f>
        <v/>
      </c>
      <c r="AE21" s="8">
        <f>SUM(AE8:AE20)</f>
        <v/>
      </c>
      <c r="AF21" s="7" t="n"/>
      <c r="AG21" s="8">
        <f>SUM(AG8:AG20)</f>
        <v/>
      </c>
      <c r="AH21" s="8">
        <f>SUM(AH8:AH20)</f>
        <v/>
      </c>
      <c r="AI21" s="7" t="n"/>
      <c r="AJ21" s="8">
        <f>SUM(AJ8:AJ20)</f>
        <v/>
      </c>
      <c r="AK21" s="8">
        <f>SUM(AK8:AK20)</f>
        <v/>
      </c>
      <c r="AL21" s="7" t="n"/>
      <c r="AM21" s="8" t="n">
        <v>643833457.6400001</v>
      </c>
      <c r="AN21" s="8" t="n">
        <v>513137903.57</v>
      </c>
      <c r="AO21" s="8" t="n">
        <v>237653258.67</v>
      </c>
    </row>
    <row r="22">
      <c r="A22" s="9" t="n"/>
      <c r="B22" s="9" t="inlineStr">
        <is>
          <t>очищенная</t>
        </is>
      </c>
      <c r="C22" s="10">
        <f>C21*0.8</f>
        <v/>
      </c>
      <c r="D22" s="10">
        <f>D21*0.75</f>
        <v/>
      </c>
      <c r="E22" s="10">
        <f>E21*0.75</f>
        <v/>
      </c>
      <c r="F22" s="10">
        <f>F21*0.8</f>
        <v/>
      </c>
      <c r="G22" s="10">
        <f>G21*0.75</f>
        <v/>
      </c>
      <c r="H22" s="10">
        <f>H21*0.75</f>
        <v/>
      </c>
      <c r="I22" s="10">
        <f>I21*0.8</f>
        <v/>
      </c>
      <c r="J22" s="10">
        <f>J21*0.75</f>
        <v/>
      </c>
      <c r="K22" s="10">
        <f>K21*0.75</f>
        <v/>
      </c>
      <c r="L22" s="10">
        <f>L21*0.8</f>
        <v/>
      </c>
      <c r="M22" s="10">
        <f>M21*0.75</f>
        <v/>
      </c>
      <c r="N22" s="10">
        <f>N21*0.75</f>
        <v/>
      </c>
      <c r="O22" s="10">
        <f>O21*0.8</f>
        <v/>
      </c>
      <c r="P22" s="10">
        <f>P21*0.75</f>
        <v/>
      </c>
      <c r="Q22" s="10">
        <f>Q21*0.75</f>
        <v/>
      </c>
      <c r="R22" s="10">
        <f>R21*0.8</f>
        <v/>
      </c>
      <c r="S22" s="10">
        <f>S21*0.75</f>
        <v/>
      </c>
      <c r="T22" s="9" t="n"/>
      <c r="U22" s="10">
        <f>U21*0.8</f>
        <v/>
      </c>
      <c r="V22" s="10">
        <f>V21*0.75</f>
        <v/>
      </c>
      <c r="W22" s="9" t="n"/>
      <c r="X22" s="10">
        <f>X21*0.8</f>
        <v/>
      </c>
      <c r="Y22" s="10">
        <f>Y21*0.75</f>
        <v/>
      </c>
      <c r="Z22" s="9" t="n"/>
      <c r="AA22" s="10">
        <f>AA21*0.8</f>
        <v/>
      </c>
      <c r="AB22" s="10">
        <f>AB21*0.75</f>
        <v/>
      </c>
      <c r="AC22" s="9" t="n"/>
      <c r="AD22" s="10">
        <f>AD21*0.8</f>
        <v/>
      </c>
      <c r="AE22" s="10">
        <f>AE21*0.75</f>
        <v/>
      </c>
      <c r="AF22" s="9" t="n"/>
      <c r="AG22" s="10">
        <f>AG21*0.8</f>
        <v/>
      </c>
      <c r="AH22" s="10">
        <f>AH21*0.75</f>
        <v/>
      </c>
      <c r="AI22" s="9" t="n"/>
      <c r="AJ22" s="10">
        <f>AJ21*0.8</f>
        <v/>
      </c>
      <c r="AK22" s="10">
        <f>AK21*0.75</f>
        <v/>
      </c>
      <c r="AL22" s="9" t="n"/>
      <c r="AM22" s="10">
        <f>AM21*0.8</f>
        <v/>
      </c>
      <c r="AN22" s="10">
        <f>AN21*0.75</f>
        <v/>
      </c>
      <c r="AO22" s="10">
        <f>AO21*0.75</f>
        <v/>
      </c>
    </row>
    <row r="24">
      <c r="A24" s="5" t="inlineStr">
        <is>
          <t>ООО ПЕРСПЕКТИВА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B25" t="inlineStr">
        <is>
          <t>1/2024Д</t>
        </is>
      </c>
      <c r="C25" s="6" t="n">
        <v>679318.2</v>
      </c>
      <c r="F25" s="6" t="n">
        <v>679318.2</v>
      </c>
      <c r="I25" s="6" t="n">
        <v>679318.2</v>
      </c>
      <c r="L25" s="6" t="n">
        <v>679318.2</v>
      </c>
      <c r="O25" s="6" t="n">
        <v>679318.2</v>
      </c>
      <c r="R25" s="6" t="n">
        <v>679318.2</v>
      </c>
      <c r="U25" s="6" t="n">
        <v>679318.2</v>
      </c>
      <c r="X25" s="6" t="n">
        <v>679318.2</v>
      </c>
      <c r="AA25" s="6" t="n">
        <v>679318.2</v>
      </c>
      <c r="AD25" s="6" t="n">
        <v>679318.2</v>
      </c>
      <c r="AG25" s="6" t="n">
        <v>679318.2</v>
      </c>
      <c r="AJ25" s="6" t="n">
        <v>679318.2</v>
      </c>
      <c r="AM25" s="6" t="n">
        <v>8151818.400000001</v>
      </c>
    </row>
    <row r="26">
      <c r="B26" t="inlineStr">
        <is>
          <t>55/2023Д</t>
        </is>
      </c>
      <c r="C26" s="6" t="n">
        <v>29295366.93</v>
      </c>
      <c r="F26" s="6" t="n">
        <v>29295366.93</v>
      </c>
      <c r="I26" s="6" t="n">
        <v>29295366.93</v>
      </c>
      <c r="L26" s="6" t="n">
        <v>29186389.16</v>
      </c>
      <c r="O26" s="6" t="n">
        <v>29091033.6</v>
      </c>
      <c r="R26" s="6" t="n">
        <v>29548199.97</v>
      </c>
      <c r="U26" s="6" t="n">
        <v>25611200.14</v>
      </c>
      <c r="X26" s="6" t="n">
        <v>25984773.1</v>
      </c>
      <c r="AA26" s="6" t="n">
        <v>27376105.36</v>
      </c>
      <c r="AD26" s="6" t="n">
        <v>26509859.19</v>
      </c>
      <c r="AG26" s="6" t="n">
        <v>29416369.43</v>
      </c>
      <c r="AJ26" s="6" t="n">
        <v>32343301.26</v>
      </c>
      <c r="AM26" s="6" t="n">
        <v>342953331.9999999</v>
      </c>
    </row>
    <row r="27">
      <c r="B27" t="inlineStr">
        <is>
          <t>56/2023Д</t>
        </is>
      </c>
      <c r="C27" s="6" t="n">
        <v>1127708.33</v>
      </c>
      <c r="F27" s="6" t="n">
        <v>1127708.33</v>
      </c>
      <c r="I27" s="6" t="n">
        <v>1127708.33</v>
      </c>
      <c r="L27" s="6" t="n">
        <v>1127708.33</v>
      </c>
      <c r="O27" s="6" t="n">
        <v>1127708.33</v>
      </c>
      <c r="R27" s="6" t="n">
        <v>1127708.33</v>
      </c>
      <c r="U27" s="6" t="n">
        <v>1127708.33</v>
      </c>
      <c r="X27" s="6" t="n">
        <v>1127708.33</v>
      </c>
      <c r="AA27" s="6" t="n">
        <v>1127708.33</v>
      </c>
      <c r="AD27" s="6" t="n">
        <v>1127708.33</v>
      </c>
      <c r="AG27" s="6" t="n">
        <v>1127708.33</v>
      </c>
      <c r="AJ27" s="6" t="n">
        <v>1127708.33</v>
      </c>
      <c r="AM27" s="6" t="n">
        <v>13532499.96</v>
      </c>
    </row>
    <row r="28">
      <c r="B28" t="inlineStr">
        <is>
          <t>265/24-А</t>
        </is>
      </c>
      <c r="X28" s="6" t="n">
        <v>245625.25</v>
      </c>
      <c r="AA28" s="6" t="n">
        <v>304575.32</v>
      </c>
      <c r="AD28" s="6" t="n">
        <v>304575.32</v>
      </c>
      <c r="AG28" s="6" t="n">
        <v>304575.32</v>
      </c>
      <c r="AJ28" s="6" t="n">
        <v>304575.32</v>
      </c>
      <c r="AM28" s="6" t="n">
        <v>1463926.53</v>
      </c>
    </row>
    <row r="29">
      <c r="B29" t="inlineStr">
        <is>
          <t>22/2024Д</t>
        </is>
      </c>
      <c r="D29" s="6" t="n">
        <v>34763246.93</v>
      </c>
      <c r="G29" s="6" t="n">
        <v>34172284.82</v>
      </c>
      <c r="J29" s="6" t="n">
        <v>34380890.19</v>
      </c>
      <c r="M29" s="6" t="n">
        <v>31750262.58</v>
      </c>
      <c r="P29" s="6" t="n">
        <v>29655924.16</v>
      </c>
      <c r="S29" s="6" t="n">
        <v>28062967.83</v>
      </c>
      <c r="V29" s="6" t="n">
        <v>27545085.44</v>
      </c>
      <c r="Y29" s="6" t="n">
        <v>27666273.54</v>
      </c>
      <c r="AB29" s="6" t="n">
        <v>29823167.16</v>
      </c>
      <c r="AE29" s="6" t="n">
        <v>8787210.130000001</v>
      </c>
      <c r="AH29" s="6" t="n">
        <v>20356264.88</v>
      </c>
      <c r="AK29" s="6" t="n">
        <v>21544117.28</v>
      </c>
      <c r="AN29" s="6" t="n">
        <v>328507694.9399999</v>
      </c>
    </row>
    <row r="30">
      <c r="B30" t="inlineStr">
        <is>
          <t>23/2024Д</t>
        </is>
      </c>
      <c r="D30" s="6" t="n">
        <v>1127708.33</v>
      </c>
      <c r="G30" s="6" t="n">
        <v>1127708.33</v>
      </c>
      <c r="J30" s="6" t="n">
        <v>1127708.33</v>
      </c>
      <c r="M30" s="6" t="n">
        <v>1127708.33</v>
      </c>
      <c r="P30" s="6" t="n">
        <v>1127708.33</v>
      </c>
      <c r="S30" s="6" t="n">
        <v>1093833.33</v>
      </c>
      <c r="V30" s="6" t="n">
        <v>1093833.33</v>
      </c>
      <c r="Y30" s="6" t="n">
        <v>1093833.33</v>
      </c>
      <c r="AB30" s="6" t="n">
        <v>1093833.33</v>
      </c>
      <c r="AE30" s="6" t="n">
        <v>1093833.33</v>
      </c>
      <c r="AH30" s="6" t="n">
        <v>1093833.33</v>
      </c>
      <c r="AK30" s="6" t="n">
        <v>1093833.33</v>
      </c>
      <c r="AN30" s="6" t="n">
        <v>13295374.96</v>
      </c>
    </row>
    <row r="31">
      <c r="B31" t="inlineStr">
        <is>
          <t>71/25-А</t>
        </is>
      </c>
      <c r="D31" s="6" t="n">
        <v>304575.32</v>
      </c>
      <c r="E31" s="6" t="n">
        <v>258260.58</v>
      </c>
      <c r="G31" s="6" t="n">
        <v>304575.32</v>
      </c>
      <c r="H31" s="6" t="n">
        <v>258260.58</v>
      </c>
      <c r="J31" s="6" t="n">
        <v>304575.32</v>
      </c>
      <c r="K31" s="6" t="n">
        <v>258260.58</v>
      </c>
      <c r="M31" s="6" t="n">
        <v>304575.32</v>
      </c>
      <c r="N31" s="6" t="n">
        <v>258260.58</v>
      </c>
      <c r="P31" s="6" t="n">
        <v>304575.32</v>
      </c>
      <c r="Q31" s="6" t="n">
        <v>258260.58</v>
      </c>
      <c r="S31" s="6" t="n">
        <v>304575.32</v>
      </c>
      <c r="V31" s="6" t="n">
        <v>304575.32</v>
      </c>
      <c r="Y31" s="6" t="n">
        <v>304575.32</v>
      </c>
      <c r="AB31" s="6" t="n">
        <v>304575.32</v>
      </c>
      <c r="AE31" s="6" t="n">
        <v>262564.92</v>
      </c>
      <c r="AH31" s="6" t="n">
        <v>262564.92</v>
      </c>
      <c r="AK31" s="6" t="n">
        <v>262564.92</v>
      </c>
      <c r="AN31" s="6" t="n">
        <v>3528872.64</v>
      </c>
      <c r="AO31" s="6" t="n">
        <v>1291302.9</v>
      </c>
    </row>
    <row r="32">
      <c r="B32" t="inlineStr">
        <is>
          <t>72/25-А</t>
        </is>
      </c>
      <c r="D32" s="6" t="n">
        <v>679318.2</v>
      </c>
      <c r="G32" s="6" t="n">
        <v>679318.2</v>
      </c>
      <c r="J32" s="6" t="n">
        <v>679318.2</v>
      </c>
      <c r="M32" s="6" t="n">
        <v>679318.2</v>
      </c>
      <c r="P32" s="6" t="n">
        <v>596759.99</v>
      </c>
      <c r="S32" s="6" t="n">
        <v>894603.0699999999</v>
      </c>
      <c r="V32" s="6" t="n">
        <v>835944.78</v>
      </c>
      <c r="Y32" s="6" t="n">
        <v>835944.78</v>
      </c>
      <c r="AB32" s="6" t="n">
        <v>835944.78</v>
      </c>
      <c r="AE32" s="6" t="n">
        <v>835944.78</v>
      </c>
      <c r="AH32" s="6" t="n">
        <v>924694.78</v>
      </c>
      <c r="AK32" s="6" t="n">
        <v>973861.4399999999</v>
      </c>
      <c r="AN32" s="6" t="n">
        <v>9450971.200000001</v>
      </c>
    </row>
    <row r="33">
      <c r="B33" t="inlineStr">
        <is>
          <t>42/2025Д</t>
        </is>
      </c>
      <c r="E33" s="6" t="n">
        <v>21855275.76</v>
      </c>
      <c r="H33" s="6" t="n">
        <v>23919210.31</v>
      </c>
      <c r="K33" s="6" t="n">
        <v>23798500.75</v>
      </c>
      <c r="N33" s="6" t="n">
        <v>22648839.29</v>
      </c>
      <c r="Q33" s="6" t="n">
        <v>21964958.58</v>
      </c>
      <c r="AO33" s="6" t="n">
        <v>114186784.69</v>
      </c>
    </row>
    <row r="34">
      <c r="B34" t="inlineStr">
        <is>
          <t>43/2025Д</t>
        </is>
      </c>
      <c r="E34" s="6" t="n">
        <v>1075901.64</v>
      </c>
      <c r="H34" s="6" t="n">
        <v>1075901.64</v>
      </c>
      <c r="K34" s="6" t="n">
        <v>1075901.64</v>
      </c>
      <c r="N34" s="6" t="n">
        <v>1075901.64</v>
      </c>
      <c r="Q34" s="6" t="n">
        <v>1075901.64</v>
      </c>
      <c r="AO34" s="6" t="n">
        <v>5379508.199999999</v>
      </c>
    </row>
    <row r="35">
      <c r="B35" t="inlineStr">
        <is>
          <t>7/2026Д</t>
        </is>
      </c>
      <c r="E35" s="6" t="n">
        <v>870601.42</v>
      </c>
      <c r="H35" s="6" t="n">
        <v>870601.42</v>
      </c>
      <c r="K35" s="6" t="n">
        <v>870601.42</v>
      </c>
      <c r="N35" s="6" t="n">
        <v>870601.42</v>
      </c>
      <c r="Q35" s="6" t="n">
        <v>870601.42</v>
      </c>
      <c r="AO35" s="6" t="n">
        <v>4353007.100000001</v>
      </c>
    </row>
    <row r="36">
      <c r="A36" s="7" t="n"/>
      <c r="B36" s="7" t="inlineStr">
        <is>
          <t>Итого</t>
        </is>
      </c>
      <c r="C36" s="8">
        <f>SUM(C25:C35)</f>
        <v/>
      </c>
      <c r="D36" s="8">
        <f>SUM(D25:D35)</f>
        <v/>
      </c>
      <c r="E36" s="8">
        <f>SUM(E25:E35)</f>
        <v/>
      </c>
      <c r="F36" s="8">
        <f>SUM(F25:F35)</f>
        <v/>
      </c>
      <c r="G36" s="8">
        <f>SUM(G25:G35)</f>
        <v/>
      </c>
      <c r="H36" s="8">
        <f>SUM(H25:H35)</f>
        <v/>
      </c>
      <c r="I36" s="8">
        <f>SUM(I25:I35)</f>
        <v/>
      </c>
      <c r="J36" s="8">
        <f>SUM(J25:J35)</f>
        <v/>
      </c>
      <c r="K36" s="8">
        <f>SUM(K25:K35)</f>
        <v/>
      </c>
      <c r="L36" s="8">
        <f>SUM(L25:L35)</f>
        <v/>
      </c>
      <c r="M36" s="8">
        <f>SUM(M25:M35)</f>
        <v/>
      </c>
      <c r="N36" s="8">
        <f>SUM(N25:N35)</f>
        <v/>
      </c>
      <c r="O36" s="8">
        <f>SUM(O25:O35)</f>
        <v/>
      </c>
      <c r="P36" s="8">
        <f>SUM(P25:P35)</f>
        <v/>
      </c>
      <c r="Q36" s="8">
        <f>SUM(Q25:Q35)</f>
        <v/>
      </c>
      <c r="R36" s="8">
        <f>SUM(R25:R35)</f>
        <v/>
      </c>
      <c r="S36" s="8">
        <f>SUM(S25:S35)</f>
        <v/>
      </c>
      <c r="T36" s="7" t="n"/>
      <c r="U36" s="8">
        <f>SUM(U25:U35)</f>
        <v/>
      </c>
      <c r="V36" s="8">
        <f>SUM(V25:V35)</f>
        <v/>
      </c>
      <c r="W36" s="7" t="n"/>
      <c r="X36" s="8">
        <f>SUM(X25:X35)</f>
        <v/>
      </c>
      <c r="Y36" s="8">
        <f>SUM(Y25:Y35)</f>
        <v/>
      </c>
      <c r="Z36" s="7" t="n"/>
      <c r="AA36" s="8">
        <f>SUM(AA25:AA35)</f>
        <v/>
      </c>
      <c r="AB36" s="8">
        <f>SUM(AB25:AB35)</f>
        <v/>
      </c>
      <c r="AC36" s="7" t="n"/>
      <c r="AD36" s="8">
        <f>SUM(AD25:AD35)</f>
        <v/>
      </c>
      <c r="AE36" s="8">
        <f>SUM(AE25:AE35)</f>
        <v/>
      </c>
      <c r="AF36" s="7" t="n"/>
      <c r="AG36" s="8">
        <f>SUM(AG25:AG35)</f>
        <v/>
      </c>
      <c r="AH36" s="8">
        <f>SUM(AH25:AH35)</f>
        <v/>
      </c>
      <c r="AI36" s="7" t="n"/>
      <c r="AJ36" s="8">
        <f>SUM(AJ25:AJ35)</f>
        <v/>
      </c>
      <c r="AK36" s="8">
        <f>SUM(AK25:AK35)</f>
        <v/>
      </c>
      <c r="AL36" s="7" t="n"/>
      <c r="AM36" s="8" t="n">
        <v>366101576.8899997</v>
      </c>
      <c r="AN36" s="8" t="n">
        <v>354782913.7399995</v>
      </c>
      <c r="AO36" s="8" t="n">
        <v>125210602.89</v>
      </c>
    </row>
    <row r="37">
      <c r="A37" s="9" t="n"/>
      <c r="B37" s="9" t="inlineStr">
        <is>
          <t>очищенная</t>
        </is>
      </c>
      <c r="C37" s="10">
        <f>C36*0.8</f>
        <v/>
      </c>
      <c r="D37" s="10">
        <f>D36*0.75</f>
        <v/>
      </c>
      <c r="E37" s="10">
        <f>E36*0.75</f>
        <v/>
      </c>
      <c r="F37" s="10">
        <f>F36*0.8</f>
        <v/>
      </c>
      <c r="G37" s="10">
        <f>G36*0.75</f>
        <v/>
      </c>
      <c r="H37" s="10">
        <f>H36*0.75</f>
        <v/>
      </c>
      <c r="I37" s="10">
        <f>I36*0.8</f>
        <v/>
      </c>
      <c r="J37" s="10">
        <f>J36*0.75</f>
        <v/>
      </c>
      <c r="K37" s="10">
        <f>K36*0.75</f>
        <v/>
      </c>
      <c r="L37" s="10">
        <f>L36*0.8</f>
        <v/>
      </c>
      <c r="M37" s="10">
        <f>M36*0.75</f>
        <v/>
      </c>
      <c r="N37" s="10">
        <f>N36*0.75</f>
        <v/>
      </c>
      <c r="O37" s="10">
        <f>O36*0.8</f>
        <v/>
      </c>
      <c r="P37" s="10">
        <f>P36*0.75</f>
        <v/>
      </c>
      <c r="Q37" s="10">
        <f>Q36*0.75</f>
        <v/>
      </c>
      <c r="R37" s="10">
        <f>R36*0.8</f>
        <v/>
      </c>
      <c r="S37" s="10">
        <f>S36*0.75</f>
        <v/>
      </c>
      <c r="T37" s="9" t="n"/>
      <c r="U37" s="10">
        <f>U36*0.8</f>
        <v/>
      </c>
      <c r="V37" s="10">
        <f>V36*0.75</f>
        <v/>
      </c>
      <c r="W37" s="9" t="n"/>
      <c r="X37" s="10">
        <f>X36*0.8</f>
        <v/>
      </c>
      <c r="Y37" s="10">
        <f>Y36*0.75</f>
        <v/>
      </c>
      <c r="Z37" s="9" t="n"/>
      <c r="AA37" s="10">
        <f>AA36*0.8</f>
        <v/>
      </c>
      <c r="AB37" s="10">
        <f>AB36*0.75</f>
        <v/>
      </c>
      <c r="AC37" s="9" t="n"/>
      <c r="AD37" s="10">
        <f>AD36*0.8</f>
        <v/>
      </c>
      <c r="AE37" s="10">
        <f>AE36*0.75</f>
        <v/>
      </c>
      <c r="AF37" s="9" t="n"/>
      <c r="AG37" s="10">
        <f>AG36*0.8</f>
        <v/>
      </c>
      <c r="AH37" s="10">
        <f>AH36*0.75</f>
        <v/>
      </c>
      <c r="AI37" s="9" t="n"/>
      <c r="AJ37" s="10">
        <f>AJ36*0.8</f>
        <v/>
      </c>
      <c r="AK37" s="10">
        <f>AK36*0.75</f>
        <v/>
      </c>
      <c r="AL37" s="9" t="n"/>
      <c r="AM37" s="10">
        <f>AM36*0.8</f>
        <v/>
      </c>
      <c r="AN37" s="10">
        <f>AN36*0.75</f>
        <v/>
      </c>
      <c r="AO37" s="10">
        <f>AO36*0.75</f>
        <v/>
      </c>
    </row>
    <row r="39">
      <c r="A39" s="5" t="inlineStr">
        <is>
          <t>Итого по всем арендодателям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7" t="n"/>
      <c r="B40" s="7" t="inlineStr">
        <is>
          <t>Итого</t>
        </is>
      </c>
      <c r="C40" s="8">
        <f>SUM(C8:C20,C25:C35)</f>
        <v/>
      </c>
      <c r="D40" s="8">
        <f>SUM(D8:D20,D25:D35)</f>
        <v/>
      </c>
      <c r="E40" s="8">
        <f>SUM(E8:E20,E25:E35)</f>
        <v/>
      </c>
      <c r="F40" s="8">
        <f>SUM(F8:F20,F25:F35)</f>
        <v/>
      </c>
      <c r="G40" s="8">
        <f>SUM(G8:G20,G25:G35)</f>
        <v/>
      </c>
      <c r="H40" s="8">
        <f>SUM(H8:H20,H25:H35)</f>
        <v/>
      </c>
      <c r="I40" s="8">
        <f>SUM(I8:I20,I25:I35)</f>
        <v/>
      </c>
      <c r="J40" s="8">
        <f>SUM(J8:J20,J25:J35)</f>
        <v/>
      </c>
      <c r="K40" s="8">
        <f>SUM(K8:K20,K25:K35)</f>
        <v/>
      </c>
      <c r="L40" s="8">
        <f>SUM(L8:L20,L25:L35)</f>
        <v/>
      </c>
      <c r="M40" s="8">
        <f>SUM(M8:M20,M25:M35)</f>
        <v/>
      </c>
      <c r="N40" s="8">
        <f>SUM(N8:N20,N25:N35)</f>
        <v/>
      </c>
      <c r="O40" s="8">
        <f>SUM(O8:O20,O25:O35)</f>
        <v/>
      </c>
      <c r="P40" s="8">
        <f>SUM(P8:P20,P25:P35)</f>
        <v/>
      </c>
      <c r="Q40" s="8">
        <f>SUM(Q8:Q20,Q25:Q35)</f>
        <v/>
      </c>
      <c r="R40" s="8">
        <f>SUM(R8:R20,R25:R35)</f>
        <v/>
      </c>
      <c r="S40" s="8">
        <f>SUM(S8:S20,S25:S35)</f>
        <v/>
      </c>
      <c r="T40" s="7" t="n"/>
      <c r="U40" s="8">
        <f>SUM(U8:U20,U25:U35)</f>
        <v/>
      </c>
      <c r="V40" s="8">
        <f>SUM(V8:V20,V25:V35)</f>
        <v/>
      </c>
      <c r="W40" s="7" t="n"/>
      <c r="X40" s="8">
        <f>SUM(X8:X20,X25:X35)</f>
        <v/>
      </c>
      <c r="Y40" s="8">
        <f>SUM(Y8:Y20,Y25:Y35)</f>
        <v/>
      </c>
      <c r="Z40" s="7" t="n"/>
      <c r="AA40" s="8">
        <f>SUM(AA8:AA20,AA25:AA35)</f>
        <v/>
      </c>
      <c r="AB40" s="8">
        <f>SUM(AB8:AB20,AB25:AB35)</f>
        <v/>
      </c>
      <c r="AC40" s="7" t="n"/>
      <c r="AD40" s="8">
        <f>SUM(AD8:AD20,AD25:AD35)</f>
        <v/>
      </c>
      <c r="AE40" s="8">
        <f>SUM(AE8:AE20,AE25:AE35)</f>
        <v/>
      </c>
      <c r="AF40" s="7" t="n"/>
      <c r="AG40" s="8">
        <f>SUM(AG8:AG20,AG25:AG35)</f>
        <v/>
      </c>
      <c r="AH40" s="8">
        <f>SUM(AH8:AH20,AH25:AH35)</f>
        <v/>
      </c>
      <c r="AI40" s="7" t="n"/>
      <c r="AJ40" s="8">
        <f>SUM(AJ8:AJ20,AJ25:AJ35)</f>
        <v/>
      </c>
      <c r="AK40" s="8">
        <f>SUM(AK8:AK20,AK25:AK35)</f>
        <v/>
      </c>
      <c r="AL40" s="7" t="n"/>
      <c r="AM40" s="8" t="n">
        <v>1009935034.53</v>
      </c>
      <c r="AN40" s="8" t="n">
        <v>867920817.3099995</v>
      </c>
      <c r="AO40" s="8" t="n">
        <v>362863861.56</v>
      </c>
    </row>
    <row r="41">
      <c r="A41" s="9" t="n"/>
      <c r="B41" s="9" t="inlineStr">
        <is>
          <t>очищенная</t>
        </is>
      </c>
      <c r="C41" s="10">
        <f>C40*0.8</f>
        <v/>
      </c>
      <c r="D41" s="10">
        <f>D40*0.75</f>
        <v/>
      </c>
      <c r="E41" s="10">
        <f>E40*0.75</f>
        <v/>
      </c>
      <c r="F41" s="10">
        <f>F40*0.8</f>
        <v/>
      </c>
      <c r="G41" s="10">
        <f>G40*0.75</f>
        <v/>
      </c>
      <c r="H41" s="10">
        <f>H40*0.75</f>
        <v/>
      </c>
      <c r="I41" s="10">
        <f>I40*0.8</f>
        <v/>
      </c>
      <c r="J41" s="10">
        <f>J40*0.75</f>
        <v/>
      </c>
      <c r="K41" s="10">
        <f>K40*0.75</f>
        <v/>
      </c>
      <c r="L41" s="10">
        <f>L40*0.8</f>
        <v/>
      </c>
      <c r="M41" s="10">
        <f>M40*0.75</f>
        <v/>
      </c>
      <c r="N41" s="10">
        <f>N40*0.75</f>
        <v/>
      </c>
      <c r="O41" s="10">
        <f>O40*0.8</f>
        <v/>
      </c>
      <c r="P41" s="10">
        <f>P40*0.75</f>
        <v/>
      </c>
      <c r="Q41" s="10">
        <f>Q40*0.75</f>
        <v/>
      </c>
      <c r="R41" s="10">
        <f>R40*0.8</f>
        <v/>
      </c>
      <c r="S41" s="10">
        <f>S40*0.75</f>
        <v/>
      </c>
      <c r="T41" s="9" t="n"/>
      <c r="U41" s="10">
        <f>U40*0.8</f>
        <v/>
      </c>
      <c r="V41" s="10">
        <f>V40*0.75</f>
        <v/>
      </c>
      <c r="W41" s="9" t="n"/>
      <c r="X41" s="10">
        <f>X40*0.8</f>
        <v/>
      </c>
      <c r="Y41" s="10">
        <f>Y40*0.75</f>
        <v/>
      </c>
      <c r="Z41" s="9" t="n"/>
      <c r="AA41" s="10">
        <f>AA40*0.8</f>
        <v/>
      </c>
      <c r="AB41" s="10">
        <f>AB40*0.75</f>
        <v/>
      </c>
      <c r="AC41" s="9" t="n"/>
      <c r="AD41" s="10">
        <f>AD40*0.8</f>
        <v/>
      </c>
      <c r="AE41" s="10">
        <f>AE40*0.75</f>
        <v/>
      </c>
      <c r="AF41" s="9" t="n"/>
      <c r="AG41" s="10">
        <f>AG40*0.8</f>
        <v/>
      </c>
      <c r="AH41" s="10">
        <f>AH40*0.75</f>
        <v/>
      </c>
      <c r="AI41" s="9" t="n"/>
      <c r="AJ41" s="10">
        <f>AJ40*0.8</f>
        <v/>
      </c>
      <c r="AK41" s="10">
        <f>AK40*0.75</f>
        <v/>
      </c>
      <c r="AL41" s="9" t="n"/>
      <c r="AM41" s="10">
        <f>AM40*0.8</f>
        <v/>
      </c>
      <c r="AN41" s="10">
        <f>AN40*0.75</f>
        <v/>
      </c>
      <c r="AO41" s="10">
        <f>AO40*0.75</f>
        <v/>
      </c>
    </row>
  </sheetData>
  <mergeCells count="17">
    <mergeCell ref="D1:AL1"/>
    <mergeCell ref="C2:AL2"/>
    <mergeCell ref="R3:T3"/>
    <mergeCell ref="U3:W3"/>
    <mergeCell ref="B2:B5"/>
    <mergeCell ref="A2:A5"/>
    <mergeCell ref="C3:E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2026-07-01T15:37:54Z</dcterms:created>
  <dcterms:modified xsi:type="dcterms:W3CDTF">2026-07-01T15:37:54Z</dcterms:modified>
</cp:coreProperties>
</file>