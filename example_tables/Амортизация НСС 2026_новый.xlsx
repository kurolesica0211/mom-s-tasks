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pe\OneDrive\Desktop\"/>
    </mc:Choice>
  </mc:AlternateContent>
  <xr:revisionPtr revIDLastSave="0" documentId="13_ncr:1_{C0178699-58C1-4BF7-8D97-D9558E68C7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НСС-Контент" sheetId="1" r:id="rId1"/>
    <sheet name="НСС - Перспектива" sheetId="2" r:id="rId2"/>
    <sheet name="Аренда" sheetId="3" r:id="rId3"/>
    <sheet name="Остаточная ст-ть" sheetId="4" r:id="rId4"/>
    <sheet name="ДЗ и КЗ_Перспектива" sheetId="5" r:id="rId5"/>
    <sheet name="ДЗ и КЗ_Контент" sheetId="6" r:id="rId6"/>
  </sheets>
  <definedNames>
    <definedName name="_xlnm.Print_Area" localSheetId="2">Аренда!$A$1:$AO$35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2" i="6" l="1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B2" i="5"/>
  <c r="AK10" i="5" l="1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E4" i="4" l="1"/>
  <c r="F3" i="4"/>
  <c r="R3" i="4" l="1"/>
  <c r="R4" i="4" s="1"/>
  <c r="AD3" i="4" l="1"/>
  <c r="AD4" i="4" l="1"/>
  <c r="AM9" i="3" l="1"/>
  <c r="AM10" i="3"/>
  <c r="AM8" i="3"/>
  <c r="AJ29" i="3"/>
  <c r="AJ30" i="3" s="1"/>
  <c r="AJ17" i="3"/>
  <c r="AJ18" i="3" s="1"/>
  <c r="AG29" i="3"/>
  <c r="AG30" i="3" s="1"/>
  <c r="AG17" i="3"/>
  <c r="AG18" i="3" s="1"/>
  <c r="AD29" i="3"/>
  <c r="AD30" i="3" s="1"/>
  <c r="AD17" i="3"/>
  <c r="AD18" i="3" s="1"/>
  <c r="AA29" i="3"/>
  <c r="AA30" i="3" s="1"/>
  <c r="AA17" i="3"/>
  <c r="AA18" i="3" s="1"/>
  <c r="X29" i="3"/>
  <c r="X30" i="3" s="1"/>
  <c r="X17" i="3"/>
  <c r="X18" i="3" s="1"/>
  <c r="U29" i="3"/>
  <c r="U30" i="3" s="1"/>
  <c r="U17" i="3"/>
  <c r="U18" i="3" s="1"/>
  <c r="R29" i="3"/>
  <c r="R30" i="3" s="1"/>
  <c r="R17" i="3"/>
  <c r="R18" i="3" s="1"/>
  <c r="O30" i="3"/>
  <c r="O29" i="3"/>
  <c r="O17" i="3"/>
  <c r="O33" i="3" s="1"/>
  <c r="O34" i="3" s="1"/>
  <c r="L33" i="3"/>
  <c r="L34" i="3" s="1"/>
  <c r="L30" i="3"/>
  <c r="L29" i="3"/>
  <c r="L17" i="3"/>
  <c r="L18" i="3" s="1"/>
  <c r="I29" i="3"/>
  <c r="I30" i="3" s="1"/>
  <c r="I18" i="3"/>
  <c r="I17" i="3"/>
  <c r="I33" i="3" s="1"/>
  <c r="I34" i="3" s="1"/>
  <c r="F29" i="3"/>
  <c r="F30" i="3" s="1"/>
  <c r="F17" i="3"/>
  <c r="F18" i="3" s="1"/>
  <c r="C29" i="3"/>
  <c r="C30" i="3" s="1"/>
  <c r="C17" i="3"/>
  <c r="AM17" i="3" s="1"/>
  <c r="AM22" i="3"/>
  <c r="AM23" i="3"/>
  <c r="AM24" i="3"/>
  <c r="AM21" i="3"/>
  <c r="AJ33" i="3" l="1"/>
  <c r="AJ34" i="3" s="1"/>
  <c r="AA33" i="3"/>
  <c r="AA34" i="3" s="1"/>
  <c r="O18" i="3"/>
  <c r="U33" i="3"/>
  <c r="U34" i="3" s="1"/>
  <c r="AD33" i="3"/>
  <c r="AD34" i="3" s="1"/>
  <c r="F33" i="3"/>
  <c r="F34" i="3" s="1"/>
  <c r="X33" i="3"/>
  <c r="X34" i="3" s="1"/>
  <c r="C18" i="3"/>
  <c r="AM18" i="3" s="1"/>
  <c r="AG33" i="3"/>
  <c r="AG34" i="3" s="1"/>
  <c r="R33" i="3"/>
  <c r="R34" i="3" s="1"/>
  <c r="AM29" i="3"/>
  <c r="AM30" i="3" s="1"/>
  <c r="C33" i="3"/>
  <c r="C34" i="3" s="1"/>
  <c r="O10" i="2"/>
  <c r="AM7" i="1"/>
  <c r="AM8" i="1"/>
  <c r="AM9" i="1"/>
  <c r="AM10" i="1"/>
  <c r="AM11" i="1"/>
  <c r="AM12" i="1"/>
  <c r="AM13" i="1"/>
  <c r="AM6" i="1"/>
  <c r="AJ14" i="1"/>
  <c r="AG14" i="1"/>
  <c r="AD14" i="1"/>
  <c r="AA14" i="1"/>
  <c r="X14" i="1"/>
  <c r="U14" i="1"/>
  <c r="R14" i="1"/>
  <c r="O14" i="1"/>
  <c r="L14" i="1"/>
  <c r="I14" i="1"/>
  <c r="F14" i="1"/>
  <c r="AM33" i="3" l="1"/>
  <c r="AM34" i="3" s="1"/>
  <c r="AM7" i="2"/>
  <c r="AM8" i="2"/>
  <c r="AM6" i="2"/>
  <c r="AJ11" i="2"/>
  <c r="AG11" i="2"/>
  <c r="AD11" i="2"/>
  <c r="AA11" i="2"/>
  <c r="X12" i="2"/>
  <c r="X11" i="2"/>
  <c r="X20" i="2" s="1"/>
  <c r="X21" i="2" s="1"/>
  <c r="U11" i="2"/>
  <c r="U20" i="2" s="1"/>
  <c r="U21" i="2" s="1"/>
  <c r="R11" i="2"/>
  <c r="O11" i="2"/>
  <c r="L11" i="2"/>
  <c r="AJ15" i="1"/>
  <c r="AG15" i="1"/>
  <c r="AD15" i="1"/>
  <c r="AA15" i="1"/>
  <c r="X15" i="1"/>
  <c r="U15" i="1"/>
  <c r="R15" i="1"/>
  <c r="O15" i="1"/>
  <c r="L15" i="1"/>
  <c r="I11" i="2"/>
  <c r="F11" i="2"/>
  <c r="F20" i="2" s="1"/>
  <c r="F21" i="2" s="1"/>
  <c r="F10" i="2"/>
  <c r="AM10" i="2" s="1"/>
  <c r="F9" i="2"/>
  <c r="C10" i="2"/>
  <c r="C9" i="2"/>
  <c r="C11" i="2" s="1"/>
  <c r="AO7" i="1"/>
  <c r="AO8" i="1"/>
  <c r="AO9" i="1"/>
  <c r="AO10" i="1"/>
  <c r="AO11" i="1"/>
  <c r="AO12" i="1"/>
  <c r="AO13" i="1"/>
  <c r="AO6" i="1"/>
  <c r="I15" i="1"/>
  <c r="F15" i="1"/>
  <c r="C20" i="2" l="1"/>
  <c r="C21" i="2" s="1"/>
  <c r="C12" i="2"/>
  <c r="AG12" i="2"/>
  <c r="AG20" i="2"/>
  <c r="AG21" i="2" s="1"/>
  <c r="O12" i="2"/>
  <c r="O20" i="2"/>
  <c r="O21" i="2" s="1"/>
  <c r="U12" i="2"/>
  <c r="I12" i="2"/>
  <c r="I20" i="2"/>
  <c r="I21" i="2" s="1"/>
  <c r="AM9" i="2"/>
  <c r="R12" i="2"/>
  <c r="R20" i="2"/>
  <c r="R21" i="2" s="1"/>
  <c r="F12" i="2"/>
  <c r="AA12" i="2"/>
  <c r="AA20" i="2"/>
  <c r="AA21" i="2" s="1"/>
  <c r="AJ12" i="2"/>
  <c r="AJ20" i="2"/>
  <c r="AJ21" i="2" s="1"/>
  <c r="L12" i="2"/>
  <c r="L20" i="2"/>
  <c r="L21" i="2" s="1"/>
  <c r="AD12" i="2"/>
  <c r="AD20" i="2"/>
  <c r="AD21" i="2" s="1"/>
  <c r="AM11" i="2"/>
  <c r="AM20" i="2" s="1"/>
  <c r="AM21" i="2" s="1"/>
  <c r="AM14" i="1"/>
  <c r="AM15" i="1" s="1"/>
  <c r="C14" i="1"/>
  <c r="C15" i="1" s="1"/>
  <c r="AM12" i="2" l="1"/>
  <c r="E4" i="4"/>
  <c r="Q3" i="4"/>
  <c r="Q4" i="4" s="1"/>
  <c r="AC3" i="4"/>
  <c r="AC4" i="4" s="1"/>
  <c r="AL21" i="2"/>
  <c r="AI21" i="2"/>
  <c r="AF21" i="2"/>
  <c r="AC21" i="2"/>
  <c r="Z21" i="2"/>
  <c r="W21" i="2"/>
  <c r="T21" i="2"/>
  <c r="AB4" i="4"/>
  <c r="P4" i="4"/>
  <c r="M4" i="4"/>
  <c r="D4" i="4"/>
  <c r="C4" i="4" l="1"/>
  <c r="O4" i="4"/>
  <c r="AA4" i="4"/>
  <c r="AB29" i="3"/>
  <c r="V29" i="3"/>
  <c r="T33" i="3"/>
  <c r="W33" i="3"/>
  <c r="T34" i="3"/>
  <c r="W34" i="3"/>
  <c r="E29" i="3"/>
  <c r="E30" i="3" s="1"/>
  <c r="G29" i="3"/>
  <c r="G30" i="3" s="1"/>
  <c r="H29" i="3"/>
  <c r="H30" i="3" s="1"/>
  <c r="J29" i="3"/>
  <c r="J30" i="3" s="1"/>
  <c r="K29" i="3"/>
  <c r="K30" i="3" s="1"/>
  <c r="M29" i="3"/>
  <c r="N29" i="3"/>
  <c r="N30" i="3" s="1"/>
  <c r="P29" i="3"/>
  <c r="P30" i="3" s="1"/>
  <c r="Q29" i="3"/>
  <c r="Q30" i="3" s="1"/>
  <c r="S29" i="3"/>
  <c r="S30" i="3" s="1"/>
  <c r="T29" i="3"/>
  <c r="W29" i="3"/>
  <c r="Z29" i="3"/>
  <c r="Z30" i="3" s="1"/>
  <c r="AC29" i="3"/>
  <c r="AC30" i="3" s="1"/>
  <c r="AE29" i="3"/>
  <c r="AE30" i="3" s="1"/>
  <c r="AF29" i="3"/>
  <c r="AF30" i="3" s="1"/>
  <c r="AH29" i="3"/>
  <c r="AH30" i="3" s="1"/>
  <c r="AI29" i="3"/>
  <c r="AI30" i="3" s="1"/>
  <c r="AK29" i="3"/>
  <c r="AK30" i="3" s="1"/>
  <c r="AL29" i="3"/>
  <c r="AL30" i="3" s="1"/>
  <c r="M30" i="3"/>
  <c r="T30" i="3"/>
  <c r="W30" i="3"/>
  <c r="AN26" i="3"/>
  <c r="AN27" i="3"/>
  <c r="AN28" i="3"/>
  <c r="AO12" i="3"/>
  <c r="AO13" i="3"/>
  <c r="AO14" i="3"/>
  <c r="AO15" i="3"/>
  <c r="AO16" i="3"/>
  <c r="AO11" i="3"/>
  <c r="AN12" i="3"/>
  <c r="AN13" i="3"/>
  <c r="AN15" i="3"/>
  <c r="AN11" i="3"/>
  <c r="V17" i="3"/>
  <c r="V18" i="3" s="1"/>
  <c r="AN16" i="3"/>
  <c r="S17" i="3"/>
  <c r="S18" i="3" s="1"/>
  <c r="P17" i="3"/>
  <c r="P18" i="3" s="1"/>
  <c r="AN14" i="3"/>
  <c r="K17" i="3"/>
  <c r="K18" i="3" s="1"/>
  <c r="N17" i="3"/>
  <c r="N18" i="3" s="1"/>
  <c r="Q17" i="3"/>
  <c r="Q18" i="3" s="1"/>
  <c r="T17" i="3"/>
  <c r="T18" i="3" s="1"/>
  <c r="W17" i="3"/>
  <c r="W18" i="3" s="1"/>
  <c r="Z17" i="3"/>
  <c r="Z18" i="3" s="1"/>
  <c r="AC17" i="3"/>
  <c r="AC18" i="3" s="1"/>
  <c r="AE17" i="3"/>
  <c r="AE18" i="3" s="1"/>
  <c r="AF17" i="3"/>
  <c r="AF18" i="3" s="1"/>
  <c r="AH17" i="3"/>
  <c r="AH18" i="3" s="1"/>
  <c r="AI17" i="3"/>
  <c r="AI18" i="3" s="1"/>
  <c r="AK17" i="3"/>
  <c r="AK18" i="3" s="1"/>
  <c r="AL17" i="3"/>
  <c r="AL18" i="3" s="1"/>
  <c r="H17" i="3"/>
  <c r="H18" i="3" s="1"/>
  <c r="E17" i="3"/>
  <c r="E18" i="3" s="1"/>
  <c r="Z33" i="3" l="1"/>
  <c r="Z34" i="3" s="1"/>
  <c r="AL33" i="3"/>
  <c r="AL34" i="3" s="1"/>
  <c r="AK33" i="3"/>
  <c r="AK34" i="3" s="1"/>
  <c r="AI33" i="3"/>
  <c r="AI34" i="3" s="1"/>
  <c r="AH33" i="3"/>
  <c r="AH34" i="3" s="1"/>
  <c r="AF33" i="3"/>
  <c r="AF34" i="3" s="1"/>
  <c r="AC33" i="3"/>
  <c r="AC34" i="3" s="1"/>
  <c r="Q33" i="3"/>
  <c r="Q34" i="3" s="1"/>
  <c r="N33" i="3"/>
  <c r="N34" i="3" s="1"/>
  <c r="AE33" i="3"/>
  <c r="AE34" i="3" s="1"/>
  <c r="S33" i="3"/>
  <c r="S34" i="3" s="1"/>
  <c r="P33" i="3"/>
  <c r="P34" i="3" s="1"/>
  <c r="K33" i="3"/>
  <c r="K34" i="3" s="1"/>
  <c r="H33" i="3"/>
  <c r="H34" i="3" s="1"/>
  <c r="AO18" i="3"/>
  <c r="E33" i="3"/>
  <c r="E34" i="3" s="1"/>
  <c r="AB30" i="3"/>
  <c r="AN25" i="3"/>
  <c r="Y29" i="3"/>
  <c r="V30" i="3"/>
  <c r="V33" i="3"/>
  <c r="V34" i="3" s="1"/>
  <c r="AB17" i="3"/>
  <c r="AB18" i="3" s="1"/>
  <c r="Y17" i="3"/>
  <c r="Y18" i="3" s="1"/>
  <c r="AO17" i="3"/>
  <c r="M17" i="3"/>
  <c r="J17" i="3"/>
  <c r="G17" i="3"/>
  <c r="AO6" i="2"/>
  <c r="AO7" i="2"/>
  <c r="AO8" i="2"/>
  <c r="AL11" i="2"/>
  <c r="AL12" i="2" s="1"/>
  <c r="AI11" i="2"/>
  <c r="AI12" i="2" s="1"/>
  <c r="AF11" i="2"/>
  <c r="AF12" i="2" s="1"/>
  <c r="AC11" i="2"/>
  <c r="AC12" i="2" s="1"/>
  <c r="Z11" i="2"/>
  <c r="Z12" i="2" s="1"/>
  <c r="W11" i="2"/>
  <c r="W12" i="2" s="1"/>
  <c r="T11" i="2"/>
  <c r="T12" i="2" s="1"/>
  <c r="Q11" i="2"/>
  <c r="N11" i="2"/>
  <c r="K11" i="2"/>
  <c r="H11" i="2"/>
  <c r="E11" i="2"/>
  <c r="E12" i="2" l="1"/>
  <c r="E20" i="2"/>
  <c r="K12" i="2"/>
  <c r="K20" i="2"/>
  <c r="K21" i="2" s="1"/>
  <c r="Q12" i="2"/>
  <c r="Q20" i="2"/>
  <c r="Q21" i="2" s="1"/>
  <c r="H12" i="2"/>
  <c r="H20" i="2"/>
  <c r="H21" i="2" s="1"/>
  <c r="N12" i="2"/>
  <c r="N20" i="2"/>
  <c r="N21" i="2" s="1"/>
  <c r="AB33" i="3"/>
  <c r="AB34" i="3" s="1"/>
  <c r="M18" i="3"/>
  <c r="M33" i="3"/>
  <c r="M34" i="3" s="1"/>
  <c r="J18" i="3"/>
  <c r="J33" i="3"/>
  <c r="J34" i="3" s="1"/>
  <c r="G18" i="3"/>
  <c r="G33" i="3"/>
  <c r="G34" i="3" s="1"/>
  <c r="Y30" i="3"/>
  <c r="Y33" i="3"/>
  <c r="Y34" i="3" s="1"/>
  <c r="AO11" i="2"/>
  <c r="AO12" i="2" s="1"/>
  <c r="AO14" i="1"/>
  <c r="AO15" i="1" s="1"/>
  <c r="AL14" i="1"/>
  <c r="AL15" i="1" s="1"/>
  <c r="AI14" i="1"/>
  <c r="AI15" i="1" s="1"/>
  <c r="AF14" i="1"/>
  <c r="AF15" i="1" s="1"/>
  <c r="AC14" i="1"/>
  <c r="AC15" i="1" s="1"/>
  <c r="Z14" i="1"/>
  <c r="Z15" i="1" s="1"/>
  <c r="W14" i="1"/>
  <c r="W15" i="1" s="1"/>
  <c r="T14" i="1"/>
  <c r="T15" i="1" s="1"/>
  <c r="Q14" i="1"/>
  <c r="Q15" i="1" s="1"/>
  <c r="N14" i="1"/>
  <c r="N15" i="1" s="1"/>
  <c r="K14" i="1"/>
  <c r="K15" i="1" s="1"/>
  <c r="H14" i="1"/>
  <c r="H15" i="1" s="1"/>
  <c r="E14" i="1"/>
  <c r="E15" i="1" s="1"/>
  <c r="E21" i="2" l="1"/>
  <c r="AO20" i="2"/>
  <c r="AO21" i="2" s="1"/>
  <c r="Y3" i="4"/>
  <c r="X3" i="4" l="1"/>
  <c r="L3" i="4"/>
  <c r="L4" i="4" s="1"/>
  <c r="W3" i="4" l="1"/>
  <c r="J4" i="4"/>
  <c r="K4" i="4"/>
  <c r="V3" i="4"/>
  <c r="U3" i="4" l="1"/>
  <c r="U2" i="4" l="1"/>
  <c r="I3" i="4" l="1"/>
  <c r="I2" i="4" l="1"/>
  <c r="I4" i="4" s="1"/>
  <c r="H2" i="4" l="1"/>
  <c r="T2" i="4" l="1"/>
  <c r="T3" i="4" l="1"/>
  <c r="H3" i="4" l="1"/>
  <c r="H4" i="4" s="1"/>
  <c r="G3" i="4" l="1"/>
  <c r="S3" i="4" l="1"/>
  <c r="G2" i="4"/>
  <c r="S2" i="4"/>
  <c r="P9" i="1"/>
  <c r="G7" i="4" l="1"/>
  <c r="G6" i="4"/>
  <c r="S7" i="4"/>
  <c r="S6" i="4"/>
  <c r="G4" i="4" l="1"/>
  <c r="AO28" i="3"/>
  <c r="AO27" i="3"/>
  <c r="AO26" i="3"/>
  <c r="AO25" i="3"/>
  <c r="AN19" i="3"/>
  <c r="AO19" i="3"/>
  <c r="AO20" i="3"/>
  <c r="F4" i="4"/>
  <c r="N4" i="4"/>
  <c r="S4" i="4"/>
  <c r="T4" i="4"/>
  <c r="U4" i="4"/>
  <c r="V4" i="4"/>
  <c r="W4" i="4"/>
  <c r="X4" i="4"/>
  <c r="Y4" i="4"/>
  <c r="Z4" i="4"/>
  <c r="B4" i="4"/>
  <c r="G5" i="4" l="1"/>
  <c r="S5" i="4"/>
  <c r="D29" i="3" l="1"/>
  <c r="D30" i="3" s="1"/>
  <c r="AO7" i="3"/>
  <c r="AO32" i="3"/>
  <c r="AN32" i="3"/>
  <c r="AO31" i="3"/>
  <c r="AN31" i="3"/>
  <c r="D17" i="3"/>
  <c r="D18" i="3" s="1"/>
  <c r="AO6" i="3"/>
  <c r="V11" i="2"/>
  <c r="P11" i="2"/>
  <c r="M11" i="2"/>
  <c r="AH11" i="2"/>
  <c r="AK11" i="2"/>
  <c r="AN6" i="2"/>
  <c r="AN7" i="2"/>
  <c r="AN8" i="2"/>
  <c r="P14" i="1"/>
  <c r="P15" i="1" s="1"/>
  <c r="M14" i="1"/>
  <c r="M15" i="1" s="1"/>
  <c r="J14" i="1"/>
  <c r="J15" i="1" s="1"/>
  <c r="AN6" i="1"/>
  <c r="AN7" i="1"/>
  <c r="AN8" i="1"/>
  <c r="AN9" i="1"/>
  <c r="AN12" i="1"/>
  <c r="AN13" i="1"/>
  <c r="AH14" i="1"/>
  <c r="AH15" i="1" s="1"/>
  <c r="AK14" i="1"/>
  <c r="AK15" i="1" s="1"/>
  <c r="J11" i="2"/>
  <c r="AK12" i="2" l="1"/>
  <c r="AK20" i="2"/>
  <c r="AK21" i="2" s="1"/>
  <c r="AH12" i="2"/>
  <c r="AH20" i="2"/>
  <c r="AH21" i="2" s="1"/>
  <c r="J12" i="2"/>
  <c r="J20" i="2"/>
  <c r="J21" i="2" s="1"/>
  <c r="M12" i="2"/>
  <c r="M20" i="2"/>
  <c r="M21" i="2" s="1"/>
  <c r="P12" i="2"/>
  <c r="P20" i="2"/>
  <c r="P21" i="2" s="1"/>
  <c r="V12" i="2"/>
  <c r="V20" i="2"/>
  <c r="V21" i="2" s="1"/>
  <c r="AN11" i="2"/>
  <c r="AN20" i="2" s="1"/>
  <c r="AN21" i="2" s="1"/>
  <c r="AN18" i="3"/>
  <c r="AN17" i="3"/>
  <c r="Y11" i="2"/>
  <c r="S11" i="2"/>
  <c r="AB11" i="2"/>
  <c r="AE11" i="2"/>
  <c r="V14" i="1"/>
  <c r="V15" i="1" s="1"/>
  <c r="S14" i="1"/>
  <c r="S15" i="1" s="1"/>
  <c r="Y14" i="1"/>
  <c r="Y15" i="1" s="1"/>
  <c r="AB14" i="1"/>
  <c r="AB15" i="1" s="1"/>
  <c r="AN29" i="3"/>
  <c r="AN30" i="3" s="1"/>
  <c r="D33" i="3"/>
  <c r="D34" i="3" s="1"/>
  <c r="AO29" i="3"/>
  <c r="AO30" i="3" s="1"/>
  <c r="AE14" i="1"/>
  <c r="AE15" i="1" s="1"/>
  <c r="G11" i="2"/>
  <c r="G12" i="2" l="1"/>
  <c r="G20" i="2"/>
  <c r="G21" i="2" s="1"/>
  <c r="AE12" i="2"/>
  <c r="AE20" i="2"/>
  <c r="AE21" i="2" s="1"/>
  <c r="AB12" i="2"/>
  <c r="AB20" i="2"/>
  <c r="AB21" i="2" s="1"/>
  <c r="Y12" i="2"/>
  <c r="Y20" i="2"/>
  <c r="Y21" i="2" s="1"/>
  <c r="S12" i="2"/>
  <c r="S20" i="2"/>
  <c r="S21" i="2" s="1"/>
  <c r="AO33" i="3"/>
  <c r="AO34" i="3" s="1"/>
  <c r="AN33" i="3"/>
  <c r="AN34" i="3" s="1"/>
  <c r="G14" i="1" l="1"/>
  <c r="G15" i="1" s="1"/>
  <c r="D11" i="2"/>
  <c r="D14" i="1"/>
  <c r="D15" i="1" s="1"/>
  <c r="D12" i="2" l="1"/>
  <c r="D20" i="2"/>
  <c r="D21" i="2" s="1"/>
  <c r="AN12" i="2"/>
  <c r="AN14" i="1"/>
  <c r="AN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Buh88</author>
  </authors>
  <commentList>
    <comment ref="X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Buh88:</t>
        </r>
        <r>
          <rPr>
            <sz val="9"/>
            <color indexed="81"/>
            <rFont val="Tahoma"/>
            <family val="2"/>
            <charset val="204"/>
          </rPr>
          <t xml:space="preserve">
+5 новых ситраков и экскаватор сани</t>
        </r>
      </text>
    </comment>
  </commentList>
</comments>
</file>

<file path=xl/sharedStrings.xml><?xml version="1.0" encoding="utf-8"?>
<sst xmlns="http://schemas.openxmlformats.org/spreadsheetml/2006/main" count="275" uniqueCount="69">
  <si>
    <t>КОНТЕНТ</t>
  </si>
  <si>
    <t>ПЕРСПЕКТИВА</t>
  </si>
  <si>
    <t>Контрагент</t>
  </si>
  <si>
    <t>Договоры</t>
  </si>
  <si>
    <t>По арендованному имуществу</t>
  </si>
  <si>
    <t>Амортизация</t>
  </si>
  <si>
    <t>НСС</t>
  </si>
  <si>
    <t>Итого</t>
  </si>
  <si>
    <t>очищенная</t>
  </si>
  <si>
    <t>январь</t>
  </si>
  <si>
    <t>февраль</t>
  </si>
  <si>
    <t>НСС_109</t>
  </si>
  <si>
    <t>НСС_110</t>
  </si>
  <si>
    <t>НСС_71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</si>
  <si>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</si>
  <si>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</si>
  <si>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</si>
  <si>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</si>
  <si>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</si>
  <si>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</si>
  <si>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</si>
  <si>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</si>
  <si>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</si>
  <si>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</si>
  <si>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</si>
  <si>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t>ИТОГО</t>
  </si>
  <si>
    <t>Аренда</t>
  </si>
  <si>
    <t>Контент</t>
  </si>
  <si>
    <t>Перспектива</t>
  </si>
  <si>
    <t>ПЕРСПЕКТИВА/Контент</t>
  </si>
  <si>
    <t>71/25-А</t>
  </si>
  <si>
    <t>Остаточная ст-ть ОС в аренде, руб.</t>
  </si>
  <si>
    <t>Перепроверять суммы прошлого месяца</t>
  </si>
  <si>
    <t>с 01.10.2025 вся аренда НСС пересчитана по 5% от стоимости ОС (часть договоров была по этой ставке уже, часть 5,5-8)</t>
  </si>
  <si>
    <t>НСС_28 (4)</t>
  </si>
  <si>
    <t>НСС_29 (5)</t>
  </si>
  <si>
    <t>НСС_30 (34)</t>
  </si>
  <si>
    <t>НСС_34 (2)</t>
  </si>
  <si>
    <t>Договоры 2026 (2025)</t>
  </si>
  <si>
    <t>28 (4)</t>
  </si>
  <si>
    <t>29 (5)</t>
  </si>
  <si>
    <t>30 (34)</t>
  </si>
  <si>
    <t>34 (2)</t>
  </si>
  <si>
    <t>42 (22)</t>
  </si>
  <si>
    <t>43 (23)</t>
  </si>
  <si>
    <t>7 (72/25-А)</t>
  </si>
  <si>
    <t>НСС_42 (22)</t>
  </si>
  <si>
    <t>НСС_7 (72)</t>
  </si>
  <si>
    <t>Амортизация +ответственное хранение итого</t>
  </si>
  <si>
    <t>Дог 18/26</t>
  </si>
  <si>
    <t>НСС_31</t>
  </si>
  <si>
    <t>НСС_32</t>
  </si>
  <si>
    <t>НСС_1</t>
  </si>
  <si>
    <t>НСС_55</t>
  </si>
  <si>
    <t>АП Контент корректировали октябрем (в начале 2026) за январь - сентябрь, Перспектива - июль-сентябрь. За октябрь указана сумма с учетом корректировки</t>
  </si>
  <si>
    <t xml:space="preserve">1/2024Д </t>
  </si>
  <si>
    <t>55/2023Д</t>
  </si>
  <si>
    <t>56/2023Д</t>
  </si>
  <si>
    <t xml:space="preserve">265/24-А </t>
  </si>
  <si>
    <t xml:space="preserve">за май по договору хранения еще не выставлено ничего </t>
  </si>
  <si>
    <t>Дебиторская задолженность, итого</t>
  </si>
  <si>
    <t>в т.ч. 62.01</t>
  </si>
  <si>
    <t>Кредиторская задолженность, итого</t>
  </si>
  <si>
    <t>в т.ч. 60.01</t>
  </si>
  <si>
    <t>62.02</t>
  </si>
  <si>
    <t>76.02</t>
  </si>
  <si>
    <t>62.32</t>
  </si>
  <si>
    <t>76.05</t>
  </si>
  <si>
    <t>76.03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</si>
</sst>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u/>
      <sz val="11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  <charset val="204"/>
    </font>
    <font>
      <b/>
      <sz val="11"/>
      <color rgb="FFFF0000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9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17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" xfId="0" applyFont="1" applyBorder="1"/>
    <xf numFmtId="0" fontId="3" fillId="0" borderId="2" xfId="0" applyFont="1" applyBorder="1"/>
    <xf numFmtId="164" fontId="1" fillId="0" borderId="1" xfId="0" applyNumberFormat="1" applyFont="1" applyBorder="1"/>
    <xf numFmtId="164" fontId="1" fillId="0" borderId="11" xfId="0" applyNumberFormat="1" applyFont="1" applyBorder="1"/>
    <xf numFmtId="164" fontId="1" fillId="0" borderId="9" xfId="0" applyNumberFormat="1" applyFont="1" applyBorder="1"/>
    <xf numFmtId="164" fontId="1" fillId="0" borderId="2" xfId="0" applyNumberFormat="1" applyFont="1" applyBorder="1"/>
    <xf numFmtId="0" fontId="3" fillId="0" borderId="12" xfId="0" applyFont="1" applyBorder="1"/>
    <xf numFmtId="0" fontId="1" fillId="0" borderId="14" xfId="0" applyFont="1" applyBorder="1"/>
    <xf numFmtId="164" fontId="1" fillId="0" borderId="15" xfId="0" applyNumberFormat="1" applyFont="1" applyBorder="1"/>
    <xf numFmtId="164" fontId="1" fillId="0" borderId="14" xfId="0" applyNumberFormat="1" applyFont="1" applyBorder="1"/>
    <xf numFmtId="164" fontId="1" fillId="0" borderId="16" xfId="0" applyNumberFormat="1" applyFont="1" applyBorder="1"/>
    <xf numFmtId="0" fontId="1" fillId="0" borderId="17" xfId="0" applyFont="1" applyBorder="1"/>
    <xf numFmtId="0" fontId="2" fillId="0" borderId="19" xfId="0" applyFont="1" applyBorder="1"/>
    <xf numFmtId="0" fontId="4" fillId="0" borderId="20" xfId="0" applyFont="1" applyBorder="1"/>
    <xf numFmtId="164" fontId="2" fillId="0" borderId="19" xfId="0" applyNumberFormat="1" applyFont="1" applyBorder="1"/>
    <xf numFmtId="164" fontId="2" fillId="0" borderId="21" xfId="0" applyNumberFormat="1" applyFont="1" applyBorder="1"/>
    <xf numFmtId="0" fontId="2" fillId="0" borderId="0" xfId="0" applyFont="1"/>
    <xf numFmtId="0" fontId="2" fillId="0" borderId="22" xfId="0" applyFont="1" applyBorder="1"/>
    <xf numFmtId="0" fontId="4" fillId="0" borderId="23" xfId="0" applyFont="1" applyBorder="1"/>
    <xf numFmtId="164" fontId="2" fillId="0" borderId="22" xfId="0" applyNumberFormat="1" applyFont="1" applyBorder="1"/>
    <xf numFmtId="0" fontId="1" fillId="0" borderId="25" xfId="0" applyFont="1" applyBorder="1"/>
    <xf numFmtId="0" fontId="1" fillId="0" borderId="18" xfId="0" applyFont="1" applyBorder="1"/>
    <xf numFmtId="164" fontId="1" fillId="0" borderId="18" xfId="0" applyNumberFormat="1" applyFont="1" applyBorder="1"/>
    <xf numFmtId="164" fontId="1" fillId="0" borderId="12" xfId="0" applyNumberFormat="1" applyFont="1" applyBorder="1"/>
    <xf numFmtId="0" fontId="2" fillId="0" borderId="12" xfId="0" applyFont="1" applyBorder="1"/>
    <xf numFmtId="0" fontId="3" fillId="0" borderId="16" xfId="0" applyFont="1" applyBorder="1"/>
    <xf numFmtId="0" fontId="2" fillId="0" borderId="18" xfId="0" applyFont="1" applyBorder="1"/>
    <xf numFmtId="0" fontId="2" fillId="0" borderId="29" xfId="0" applyFont="1" applyBorder="1"/>
    <xf numFmtId="0" fontId="2" fillId="0" borderId="23" xfId="0" applyFont="1" applyBorder="1"/>
    <xf numFmtId="0" fontId="0" fillId="0" borderId="1" xfId="0" applyBorder="1"/>
    <xf numFmtId="0" fontId="6" fillId="5" borderId="1" xfId="0" applyFont="1" applyFill="1" applyBorder="1" applyAlignment="1">
      <alignment vertical="distributed"/>
    </xf>
    <xf numFmtId="14" fontId="6" fillId="5" borderId="1" xfId="0" applyNumberFormat="1" applyFont="1" applyFill="1" applyBorder="1"/>
    <xf numFmtId="0" fontId="6" fillId="0" borderId="1" xfId="0" applyFont="1" applyBorder="1"/>
    <xf numFmtId="4" fontId="0" fillId="0" borderId="1" xfId="0" applyNumberFormat="1" applyBorder="1"/>
    <xf numFmtId="4" fontId="6" fillId="0" borderId="1" xfId="0" applyNumberFormat="1" applyFont="1" applyBorder="1"/>
    <xf numFmtId="0" fontId="1" fillId="6" borderId="0" xfId="0" applyFont="1" applyFill="1"/>
    <xf numFmtId="0" fontId="1" fillId="0" borderId="0" xfId="0" applyFont="1" applyFill="1"/>
    <xf numFmtId="0" fontId="3" fillId="0" borderId="12" xfId="0" applyFont="1" applyFill="1" applyBorder="1"/>
    <xf numFmtId="164" fontId="1" fillId="0" borderId="18" xfId="0" applyNumberFormat="1" applyFont="1" applyFill="1" applyBorder="1"/>
    <xf numFmtId="164" fontId="1" fillId="0" borderId="12" xfId="0" applyNumberFormat="1" applyFont="1" applyFill="1" applyBorder="1"/>
    <xf numFmtId="0" fontId="1" fillId="0" borderId="1" xfId="0" applyFont="1" applyFill="1" applyBorder="1"/>
    <xf numFmtId="0" fontId="3" fillId="0" borderId="2" xfId="0" applyFont="1" applyFill="1" applyBorder="1"/>
    <xf numFmtId="164" fontId="1" fillId="0" borderId="1" xfId="0" applyNumberFormat="1" applyFont="1" applyFill="1" applyBorder="1"/>
    <xf numFmtId="4" fontId="0" fillId="0" borderId="0" xfId="0" applyNumberFormat="1"/>
    <xf numFmtId="4" fontId="1" fillId="0" borderId="0" xfId="0" applyNumberFormat="1" applyFont="1"/>
    <xf numFmtId="4" fontId="0" fillId="3" borderId="1" xfId="0" applyNumberFormat="1" applyFill="1" applyBorder="1"/>
    <xf numFmtId="164" fontId="1" fillId="0" borderId="16" xfId="0" applyNumberFormat="1" applyFont="1" applyFill="1" applyBorder="1"/>
    <xf numFmtId="164" fontId="2" fillId="0" borderId="22" xfId="0" applyNumberFormat="1" applyFont="1" applyFill="1" applyBorder="1"/>
    <xf numFmtId="164" fontId="1" fillId="0" borderId="14" xfId="0" applyNumberFormat="1" applyFont="1" applyFill="1" applyBorder="1"/>
    <xf numFmtId="14" fontId="7" fillId="5" borderId="1" xfId="0" applyNumberFormat="1" applyFont="1" applyFill="1" applyBorder="1"/>
    <xf numFmtId="0" fontId="8" fillId="6" borderId="0" xfId="0" applyFont="1" applyFill="1"/>
    <xf numFmtId="164" fontId="1" fillId="0" borderId="11" xfId="0" applyNumberFormat="1" applyFont="1" applyFill="1" applyBorder="1"/>
    <xf numFmtId="0" fontId="8" fillId="0" borderId="0" xfId="0" applyFont="1" applyFill="1"/>
    <xf numFmtId="0" fontId="0" fillId="0" borderId="0" xfId="0" applyFill="1"/>
    <xf numFmtId="0" fontId="3" fillId="0" borderId="1" xfId="0" applyFont="1" applyBorder="1"/>
    <xf numFmtId="164" fontId="4" fillId="0" borderId="22" xfId="0" applyNumberFormat="1" applyFont="1" applyBorder="1"/>
    <xf numFmtId="0" fontId="3" fillId="0" borderId="0" xfId="0" applyFont="1"/>
    <xf numFmtId="164" fontId="3" fillId="0" borderId="16" xfId="0" applyNumberFormat="1" applyFont="1" applyBorder="1"/>
    <xf numFmtId="164" fontId="3" fillId="0" borderId="12" xfId="0" applyNumberFormat="1" applyFont="1" applyBorder="1"/>
    <xf numFmtId="164" fontId="3" fillId="0" borderId="18" xfId="0" applyNumberFormat="1" applyFont="1" applyBorder="1"/>
    <xf numFmtId="164" fontId="3" fillId="0" borderId="14" xfId="0" applyNumberFormat="1" applyFont="1" applyBorder="1"/>
    <xf numFmtId="0" fontId="3" fillId="0" borderId="0" xfId="0" applyFont="1" applyFill="1"/>
    <xf numFmtId="49" fontId="3" fillId="0" borderId="12" xfId="0" applyNumberFormat="1" applyFont="1" applyFill="1" applyBorder="1"/>
    <xf numFmtId="49" fontId="3" fillId="0" borderId="12" xfId="0" applyNumberFormat="1" applyFont="1" applyFill="1" applyBorder="1" applyAlignment="1">
      <alignment vertical="distributed"/>
    </xf>
    <xf numFmtId="0" fontId="12" fillId="0" borderId="0" xfId="0" applyFont="1" applyFill="1"/>
    <xf numFmtId="0" fontId="2" fillId="0" borderId="28" xfId="0" applyFont="1" applyBorder="1"/>
    <xf numFmtId="0" fontId="2" fillId="0" borderId="30" xfId="0" applyFont="1" applyBorder="1"/>
    <xf numFmtId="164" fontId="2" fillId="0" borderId="31" xfId="0" applyNumberFormat="1" applyFont="1" applyBorder="1"/>
    <xf numFmtId="0" fontId="12" fillId="0" borderId="0" xfId="0" applyFont="1"/>
    <xf numFmtId="4" fontId="0" fillId="0" borderId="1" xfId="0" applyNumberFormat="1" applyFill="1" applyBorder="1"/>
    <xf numFmtId="164" fontId="11" fillId="0" borderId="1" xfId="0" applyNumberFormat="1" applyFont="1" applyBorder="1"/>
    <xf numFmtId="164" fontId="2" fillId="0" borderId="39" xfId="0" applyNumberFormat="1" applyFont="1" applyBorder="1"/>
    <xf numFmtId="164" fontId="2" fillId="0" borderId="39" xfId="0" applyNumberFormat="1" applyFont="1" applyFill="1" applyBorder="1"/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7" xfId="0" applyFont="1" applyBorder="1"/>
    <xf numFmtId="0" fontId="1" fillId="0" borderId="0" xfId="0" applyFont="1" applyBorder="1" applyAlignment="1">
      <alignment horizontal="center" vertical="distributed"/>
    </xf>
    <xf numFmtId="0" fontId="3" fillId="0" borderId="36" xfId="0" applyFont="1" applyFill="1" applyBorder="1"/>
    <xf numFmtId="0" fontId="3" fillId="0" borderId="0" xfId="0" applyFont="1" applyBorder="1"/>
    <xf numFmtId="0" fontId="1" fillId="0" borderId="11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4" fontId="3" fillId="0" borderId="9" xfId="0" applyNumberFormat="1" applyFont="1" applyBorder="1"/>
    <xf numFmtId="164" fontId="3" fillId="0" borderId="13" xfId="0" applyNumberFormat="1" applyFont="1" applyBorder="1"/>
    <xf numFmtId="164" fontId="1" fillId="0" borderId="44" xfId="0" applyNumberFormat="1" applyFont="1" applyBorder="1"/>
    <xf numFmtId="164" fontId="4" fillId="0" borderId="42" xfId="0" applyNumberFormat="1" applyFont="1" applyBorder="1"/>
    <xf numFmtId="164" fontId="1" fillId="0" borderId="0" xfId="0" applyNumberFormat="1" applyFont="1" applyBorder="1"/>
    <xf numFmtId="0" fontId="1" fillId="0" borderId="13" xfId="0" applyFont="1" applyBorder="1"/>
    <xf numFmtId="4" fontId="16" fillId="0" borderId="0" xfId="1" applyNumberFormat="1" applyFont="1" applyBorder="1" applyAlignment="1">
      <alignment horizontal="right" vertical="top" wrapText="1"/>
    </xf>
    <xf numFmtId="164" fontId="1" fillId="0" borderId="9" xfId="0" applyNumberFormat="1" applyFont="1" applyFill="1" applyBorder="1"/>
    <xf numFmtId="164" fontId="2" fillId="0" borderId="47" xfId="0" applyNumberFormat="1" applyFont="1" applyBorder="1"/>
    <xf numFmtId="164" fontId="2" fillId="0" borderId="48" xfId="0" applyNumberFormat="1" applyFont="1" applyBorder="1"/>
    <xf numFmtId="164" fontId="4" fillId="0" borderId="48" xfId="0" applyNumberFormat="1" applyFont="1" applyBorder="1"/>
    <xf numFmtId="164" fontId="2" fillId="0" borderId="48" xfId="0" applyNumberFormat="1" applyFont="1" applyFill="1" applyBorder="1"/>
    <xf numFmtId="0" fontId="3" fillId="0" borderId="1" xfId="0" applyFont="1" applyFill="1" applyBorder="1"/>
    <xf numFmtId="0" fontId="1" fillId="0" borderId="17" xfId="0" applyFont="1" applyFill="1" applyBorder="1"/>
    <xf numFmtId="164" fontId="3" fillId="0" borderId="13" xfId="0" applyNumberFormat="1" applyFont="1" applyFill="1" applyBorder="1"/>
    <xf numFmtId="164" fontId="11" fillId="0" borderId="1" xfId="0" applyNumberFormat="1" applyFont="1" applyFill="1" applyBorder="1"/>
    <xf numFmtId="0" fontId="1" fillId="0" borderId="27" xfId="0" applyFont="1" applyBorder="1" applyAlignment="1">
      <alignment horizontal="center" vertical="distributed"/>
    </xf>
    <xf numFmtId="164" fontId="1" fillId="0" borderId="36" xfId="0" applyNumberFormat="1" applyFont="1" applyBorder="1"/>
    <xf numFmtId="0" fontId="2" fillId="0" borderId="2" xfId="0" applyFont="1" applyBorder="1"/>
    <xf numFmtId="164" fontId="2" fillId="0" borderId="18" xfId="0" applyNumberFormat="1" applyFont="1" applyBorder="1"/>
    <xf numFmtId="164" fontId="2" fillId="0" borderId="34" xfId="0" applyNumberFormat="1" applyFont="1" applyBorder="1"/>
    <xf numFmtId="164" fontId="3" fillId="0" borderId="1" xfId="0" applyNumberFormat="1" applyFont="1" applyBorder="1"/>
    <xf numFmtId="164" fontId="3" fillId="0" borderId="1" xfId="0" applyNumberFormat="1" applyFont="1" applyFill="1" applyBorder="1"/>
    <xf numFmtId="164" fontId="17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0" fontId="3" fillId="0" borderId="12" xfId="0" applyFont="1" applyBorder="1" applyAlignment="1">
      <alignment horizontal="left"/>
    </xf>
    <xf numFmtId="164" fontId="2" fillId="0" borderId="42" xfId="0" applyNumberFormat="1" applyFont="1" applyBorder="1"/>
    <xf numFmtId="0" fontId="2" fillId="0" borderId="1" xfId="0" applyFont="1" applyFill="1" applyBorder="1"/>
    <xf numFmtId="4" fontId="1" fillId="0" borderId="1" xfId="0" applyNumberFormat="1" applyFont="1" applyBorder="1"/>
    <xf numFmtId="4" fontId="1" fillId="0" borderId="1" xfId="0" applyNumberFormat="1" applyFont="1" applyFill="1" applyBorder="1"/>
    <xf numFmtId="4" fontId="3" fillId="0" borderId="1" xfId="0" applyNumberFormat="1" applyFont="1" applyFill="1" applyBorder="1"/>
    <xf numFmtId="164" fontId="17" fillId="0" borderId="19" xfId="0" applyNumberFormat="1" applyFont="1" applyBorder="1"/>
    <xf numFmtId="164" fontId="17" fillId="0" borderId="22" xfId="0" applyNumberFormat="1" applyFont="1" applyBorder="1"/>
    <xf numFmtId="0" fontId="11" fillId="0" borderId="0" xfId="0" applyFont="1"/>
    <xf numFmtId="0" fontId="0" fillId="5" borderId="50" xfId="0" applyFill="1" applyBorder="1"/>
    <xf numFmtId="14" fontId="0" fillId="5" borderId="50" xfId="0" applyNumberFormat="1" applyFill="1" applyBorder="1"/>
    <xf numFmtId="0" fontId="6" fillId="5" borderId="50" xfId="0" applyFont="1" applyFill="1" applyBorder="1" applyAlignment="1">
      <alignment wrapText="1"/>
    </xf>
    <xf numFmtId="4" fontId="6" fillId="0" borderId="50" xfId="0" applyNumberFormat="1" applyFont="1" applyBorder="1"/>
    <xf numFmtId="0" fontId="6" fillId="0" borderId="0" xfId="0" applyFont="1"/>
    <xf numFmtId="0" fontId="18" fillId="5" borderId="50" xfId="0" applyFont="1" applyFill="1" applyBorder="1" applyAlignment="1">
      <alignment horizontal="right"/>
    </xf>
    <xf numFmtId="4" fontId="18" fillId="0" borderId="50" xfId="0" applyNumberFormat="1" applyFont="1" applyBorder="1"/>
    <xf numFmtId="0" fontId="18" fillId="0" borderId="0" xfId="0" applyFont="1"/>
    <xf numFmtId="4" fontId="19" fillId="0" borderId="50" xfId="2" applyNumberFormat="1" applyFont="1" applyBorder="1" applyAlignment="1">
      <alignment horizontal="right" vertical="top" wrapText="1"/>
    </xf>
    <xf numFmtId="4" fontId="16" fillId="0" borderId="45" xfId="2" applyNumberFormat="1" applyFont="1" applyBorder="1" applyAlignment="1">
      <alignment horizontal="right" vertical="top" wrapText="1"/>
    </xf>
    <xf numFmtId="0" fontId="1" fillId="2" borderId="39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2" xfId="0" applyFont="1" applyBorder="1" applyAlignment="1">
      <alignment horizontal="center" vertical="distributed"/>
    </xf>
    <xf numFmtId="0" fontId="1" fillId="0" borderId="33" xfId="0" applyFont="1" applyBorder="1" applyAlignment="1">
      <alignment horizontal="center" vertical="distributed"/>
    </xf>
    <xf numFmtId="0" fontId="1" fillId="0" borderId="34" xfId="0" applyFont="1" applyBorder="1" applyAlignment="1">
      <alignment horizontal="center" vertical="distributed"/>
    </xf>
    <xf numFmtId="0" fontId="1" fillId="2" borderId="43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" fontId="16" fillId="0" borderId="45" xfId="1" applyNumberFormat="1" applyFont="1" applyBorder="1" applyAlignment="1">
      <alignment horizontal="right" vertical="top" wrapText="1"/>
    </xf>
    <xf numFmtId="0" fontId="13" fillId="0" borderId="40" xfId="0" applyFont="1" applyBorder="1" applyAlignment="1">
      <alignment vertical="distributed"/>
    </xf>
    <xf numFmtId="0" fontId="14" fillId="0" borderId="8" xfId="0" applyFont="1" applyBorder="1" applyAlignment="1">
      <alignment vertical="distributed"/>
    </xf>
    <xf numFmtId="0" fontId="2" fillId="7" borderId="16" xfId="0" applyFont="1" applyFill="1" applyBorder="1" applyAlignment="1">
      <alignment horizontal="center" wrapText="1"/>
    </xf>
    <xf numFmtId="0" fontId="6" fillId="7" borderId="35" xfId="0" applyFont="1" applyFill="1" applyBorder="1" applyAlignment="1">
      <alignment horizontal="center"/>
    </xf>
    <xf numFmtId="0" fontId="2" fillId="7" borderId="36" xfId="0" applyFont="1" applyFill="1" applyBorder="1" applyAlignment="1">
      <alignment horizontal="center" wrapText="1"/>
    </xf>
    <xf numFmtId="0" fontId="6" fillId="7" borderId="37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 wrapText="1"/>
    </xf>
    <xf numFmtId="0" fontId="6" fillId="7" borderId="38" xfId="0" applyFont="1" applyFill="1" applyBorder="1" applyAlignment="1">
      <alignment horizontal="center"/>
    </xf>
    <xf numFmtId="0" fontId="0" fillId="0" borderId="27" xfId="0" applyBorder="1" applyAlignment="1"/>
    <xf numFmtId="0" fontId="0" fillId="0" borderId="44" xfId="0" applyBorder="1" applyAlignment="1"/>
    <xf numFmtId="0" fontId="1" fillId="0" borderId="36" xfId="0" applyFont="1" applyBorder="1" applyAlignment="1">
      <alignment horizontal="center" vertical="distributed"/>
    </xf>
    <xf numFmtId="0" fontId="1" fillId="0" borderId="12" xfId="0" applyFont="1" applyBorder="1" applyAlignment="1">
      <alignment horizontal="center" vertical="distributed"/>
    </xf>
    <xf numFmtId="0" fontId="1" fillId="2" borderId="25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</cellXfs>
  <cellStyles count="3">
    <cellStyle name="Обычный" xfId="0" builtinId="0"/>
    <cellStyle name="Обычный_ДЗ и КЗ_Перспектива" xfId="2" xr:uid="{00000000-0005-0000-0000-000001000000}"/>
    <cellStyle name="Обычный_НСС - Перспектива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O1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30" sqref="D30"/>
    </sheetView>
  </sheetViews>
  <sheetFormatPr defaultColWidth="9.140625" defaultRowHeight="15" x14ac:dyDescent="0.25"/>
  <cols>
    <col min="1" max="1" width="6.28515625" style="3" customWidth="1"/>
    <col min="2" max="2" width="12.140625" style="3" customWidth="1"/>
    <col min="3" max="3" width="16.28515625" style="3" customWidth="1"/>
    <col min="4" max="25" width="17.140625" style="3" customWidth="1"/>
    <col min="26" max="27" width="17.28515625" style="3" customWidth="1"/>
    <col min="28" max="28" width="17.7109375" style="64" customWidth="1"/>
    <col min="29" max="30" width="17.7109375" style="3" customWidth="1"/>
    <col min="31" max="31" width="17.7109375" style="44" customWidth="1"/>
    <col min="32" max="41" width="17.7109375" style="3" customWidth="1"/>
    <col min="42" max="16384" width="9.140625" style="3"/>
  </cols>
  <sheetData>
    <row r="1" spans="1:41" x14ac:dyDescent="0.25">
      <c r="A1" s="1"/>
      <c r="B1" s="2"/>
      <c r="C1" s="83"/>
      <c r="D1" s="137" t="s">
        <v>0</v>
      </c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9"/>
      <c r="AO1" s="140"/>
    </row>
    <row r="2" spans="1:41" ht="15.75" thickBot="1" x14ac:dyDescent="0.3">
      <c r="A2" s="143" t="s">
        <v>2</v>
      </c>
      <c r="B2" s="144" t="s">
        <v>38</v>
      </c>
      <c r="C2" s="147" t="s">
        <v>4</v>
      </c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</row>
    <row r="3" spans="1:41" ht="15.75" thickBot="1" x14ac:dyDescent="0.3">
      <c r="A3" s="143"/>
      <c r="B3" s="145"/>
      <c r="C3" s="134" t="s">
        <v>9</v>
      </c>
      <c r="D3" s="135"/>
      <c r="E3" s="136"/>
      <c r="F3" s="134" t="s">
        <v>10</v>
      </c>
      <c r="G3" s="135" t="s">
        <v>10</v>
      </c>
      <c r="H3" s="136"/>
      <c r="I3" s="134" t="s">
        <v>14</v>
      </c>
      <c r="J3" s="135" t="s">
        <v>14</v>
      </c>
      <c r="K3" s="136"/>
      <c r="L3" s="134" t="s">
        <v>15</v>
      </c>
      <c r="M3" s="135" t="s">
        <v>15</v>
      </c>
      <c r="N3" s="136"/>
      <c r="O3" s="134" t="s">
        <v>16</v>
      </c>
      <c r="P3" s="135" t="s">
        <v>16</v>
      </c>
      <c r="Q3" s="136"/>
      <c r="R3" s="134" t="s">
        <v>17</v>
      </c>
      <c r="S3" s="135" t="s">
        <v>17</v>
      </c>
      <c r="T3" s="136"/>
      <c r="U3" s="134" t="s">
        <v>18</v>
      </c>
      <c r="V3" s="135" t="s">
        <v>18</v>
      </c>
      <c r="W3" s="136"/>
      <c r="X3" s="134" t="s">
        <v>19</v>
      </c>
      <c r="Y3" s="135" t="s">
        <v>19</v>
      </c>
      <c r="Z3" s="136"/>
      <c r="AA3" s="134" t="s">
        <v>20</v>
      </c>
      <c r="AB3" s="135" t="s">
        <v>20</v>
      </c>
      <c r="AC3" s="136"/>
      <c r="AD3" s="134" t="s">
        <v>21</v>
      </c>
      <c r="AE3" s="135" t="s">
        <v>21</v>
      </c>
      <c r="AF3" s="136"/>
      <c r="AG3" s="134" t="s">
        <v>22</v>
      </c>
      <c r="AH3" s="135" t="s">
        <v>22</v>
      </c>
      <c r="AI3" s="136"/>
      <c r="AJ3" s="134" t="s">
        <v>23</v>
      </c>
      <c r="AK3" s="135" t="s">
        <v>23</v>
      </c>
      <c r="AL3" s="136"/>
      <c r="AM3" s="141" t="s">
        <v>7</v>
      </c>
      <c r="AN3" s="142"/>
      <c r="AO3" s="142"/>
    </row>
    <row r="4" spans="1:41" x14ac:dyDescent="0.25">
      <c r="A4" s="143"/>
      <c r="B4" s="145"/>
      <c r="C4" s="84">
        <v>2024</v>
      </c>
      <c r="D4" s="94">
        <v>2025</v>
      </c>
      <c r="E4" s="29">
        <v>2026</v>
      </c>
      <c r="F4" s="84">
        <v>2024</v>
      </c>
      <c r="G4" s="5">
        <v>2025</v>
      </c>
      <c r="H4" s="1">
        <v>2026</v>
      </c>
      <c r="I4" s="84">
        <v>2024</v>
      </c>
      <c r="J4" s="5">
        <v>2025</v>
      </c>
      <c r="K4" s="1">
        <v>2026</v>
      </c>
      <c r="L4" s="84">
        <v>2024</v>
      </c>
      <c r="M4" s="5">
        <v>2025</v>
      </c>
      <c r="N4" s="1">
        <v>2026</v>
      </c>
      <c r="O4" s="84">
        <v>2024</v>
      </c>
      <c r="P4" s="5">
        <v>2025</v>
      </c>
      <c r="Q4" s="1">
        <v>2026</v>
      </c>
      <c r="R4" s="84">
        <v>2024</v>
      </c>
      <c r="S4" s="5">
        <v>2025</v>
      </c>
      <c r="T4" s="1">
        <v>2026</v>
      </c>
      <c r="U4" s="84">
        <v>2024</v>
      </c>
      <c r="V4" s="5">
        <v>2025</v>
      </c>
      <c r="W4" s="1">
        <v>2026</v>
      </c>
      <c r="X4" s="84">
        <v>2024</v>
      </c>
      <c r="Y4" s="5">
        <v>2025</v>
      </c>
      <c r="Z4" s="1">
        <v>2026</v>
      </c>
      <c r="AA4" s="84">
        <v>2024</v>
      </c>
      <c r="AB4" s="5">
        <v>2025</v>
      </c>
      <c r="AC4" s="1">
        <v>2026</v>
      </c>
      <c r="AD4" s="84">
        <v>2024</v>
      </c>
      <c r="AE4" s="5">
        <v>2025</v>
      </c>
      <c r="AF4" s="1">
        <v>2026</v>
      </c>
      <c r="AG4" s="84">
        <v>2024</v>
      </c>
      <c r="AH4" s="5">
        <v>2025</v>
      </c>
      <c r="AI4" s="1">
        <v>2026</v>
      </c>
      <c r="AJ4" s="84">
        <v>2024</v>
      </c>
      <c r="AK4" s="5">
        <v>2025</v>
      </c>
      <c r="AL4" s="1">
        <v>2026</v>
      </c>
      <c r="AM4" s="28">
        <v>2024</v>
      </c>
      <c r="AN4" s="5">
        <v>2025</v>
      </c>
      <c r="AO4" s="1">
        <v>2026</v>
      </c>
    </row>
    <row r="5" spans="1:41" x14ac:dyDescent="0.25">
      <c r="A5" s="143"/>
      <c r="B5" s="146"/>
      <c r="C5" s="5" t="s">
        <v>5</v>
      </c>
      <c r="D5" s="5" t="s">
        <v>5</v>
      </c>
      <c r="E5" s="1" t="s">
        <v>5</v>
      </c>
      <c r="F5" s="5" t="s">
        <v>5</v>
      </c>
      <c r="G5" s="1" t="s">
        <v>5</v>
      </c>
      <c r="H5" s="2" t="s">
        <v>5</v>
      </c>
      <c r="I5" s="5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28" t="s">
        <v>5</v>
      </c>
      <c r="P5" s="28" t="s">
        <v>5</v>
      </c>
      <c r="Q5" s="6" t="s">
        <v>5</v>
      </c>
      <c r="R5" s="2" t="s">
        <v>5</v>
      </c>
      <c r="S5" s="1" t="s">
        <v>5</v>
      </c>
      <c r="T5" s="6" t="s">
        <v>5</v>
      </c>
      <c r="U5" s="2" t="s">
        <v>5</v>
      </c>
      <c r="V5" s="1" t="s">
        <v>5</v>
      </c>
      <c r="W5" s="6" t="s">
        <v>5</v>
      </c>
      <c r="X5" s="2" t="s">
        <v>5</v>
      </c>
      <c r="Y5" s="1" t="s">
        <v>5</v>
      </c>
      <c r="Z5" s="6" t="s">
        <v>5</v>
      </c>
      <c r="AA5" s="2" t="s">
        <v>5</v>
      </c>
      <c r="AB5" s="62" t="s">
        <v>5</v>
      </c>
      <c r="AC5" s="6" t="s">
        <v>5</v>
      </c>
      <c r="AD5" s="2" t="s">
        <v>5</v>
      </c>
      <c r="AE5" s="48" t="s">
        <v>5</v>
      </c>
      <c r="AF5" s="6" t="s">
        <v>5</v>
      </c>
      <c r="AG5" s="3" t="s">
        <v>5</v>
      </c>
      <c r="AH5" s="1" t="s">
        <v>5</v>
      </c>
      <c r="AI5" s="6" t="s">
        <v>5</v>
      </c>
      <c r="AJ5" s="3" t="s">
        <v>5</v>
      </c>
      <c r="AK5" s="1" t="s">
        <v>5</v>
      </c>
      <c r="AL5" s="6" t="s">
        <v>5</v>
      </c>
      <c r="AM5" s="7"/>
      <c r="AN5" s="7"/>
      <c r="AO5" s="7"/>
    </row>
    <row r="6" spans="1:41" x14ac:dyDescent="0.25">
      <c r="A6" s="1"/>
      <c r="B6" s="45" t="s">
        <v>36</v>
      </c>
      <c r="C6" s="45"/>
      <c r="D6" s="10">
        <v>129968.59</v>
      </c>
      <c r="E6" s="10">
        <v>129968.50000000003</v>
      </c>
      <c r="F6" s="13"/>
      <c r="G6" s="13">
        <v>129968.59</v>
      </c>
      <c r="H6" s="18">
        <v>129968.59000000003</v>
      </c>
      <c r="I6" s="18"/>
      <c r="J6" s="10">
        <v>129968.59</v>
      </c>
      <c r="K6" s="18">
        <v>129968.50000000003</v>
      </c>
      <c r="M6" s="10">
        <v>129968.59</v>
      </c>
      <c r="N6" s="50">
        <v>129968.59000000003</v>
      </c>
      <c r="P6" s="50">
        <v>129968.59000000003</v>
      </c>
      <c r="Q6" s="50">
        <v>129968.51000000004</v>
      </c>
      <c r="S6" s="50">
        <v>129968.59000000003</v>
      </c>
      <c r="T6" s="48"/>
      <c r="V6" s="50">
        <v>129968.5</v>
      </c>
      <c r="W6" s="48"/>
      <c r="Y6" s="50">
        <v>129968.59</v>
      </c>
      <c r="Z6" s="48"/>
      <c r="AB6" s="50">
        <v>129968.5</v>
      </c>
      <c r="AC6" s="48"/>
      <c r="AE6" s="50">
        <v>129968.59</v>
      </c>
      <c r="AF6" s="48"/>
      <c r="AH6" s="50">
        <v>129968.5</v>
      </c>
      <c r="AI6" s="48"/>
      <c r="AK6" s="50">
        <v>129968.59</v>
      </c>
      <c r="AL6" s="48"/>
      <c r="AM6" s="10">
        <f>C6+F6+I6+L6+O6+R6+U6+X6+AA6+AD6+AG6+AJ6</f>
        <v>0</v>
      </c>
      <c r="AN6" s="10">
        <f>D6+G6+J6+M6+P6+S6+V6+Y6+AB6+AE6+AH6+AK6</f>
        <v>1559622.81</v>
      </c>
      <c r="AO6" s="10">
        <f>E6+H6+K6+N6+Q6+T6+W6+Z6+AC6+AF6+AI6+AL6</f>
        <v>649842.69000000018</v>
      </c>
    </row>
    <row r="7" spans="1:41" x14ac:dyDescent="0.25">
      <c r="A7" s="19"/>
      <c r="B7" s="45" t="s">
        <v>37</v>
      </c>
      <c r="C7" s="85"/>
      <c r="D7" s="17">
        <v>491.99</v>
      </c>
      <c r="E7" s="10">
        <v>491.99</v>
      </c>
      <c r="F7" s="18"/>
      <c r="G7" s="18">
        <v>491.99</v>
      </c>
      <c r="H7" s="18">
        <v>491.99</v>
      </c>
      <c r="I7" s="18"/>
      <c r="J7" s="10">
        <v>491.99</v>
      </c>
      <c r="K7" s="3">
        <v>491.99</v>
      </c>
      <c r="M7" s="10">
        <v>491.99</v>
      </c>
      <c r="N7" s="48">
        <v>491.99</v>
      </c>
      <c r="P7" s="50">
        <v>0</v>
      </c>
      <c r="Q7" s="48">
        <v>491.99</v>
      </c>
      <c r="S7" s="50">
        <v>0</v>
      </c>
      <c r="T7" s="48"/>
      <c r="V7" s="50"/>
      <c r="W7" s="48"/>
      <c r="Y7" s="50"/>
      <c r="Z7" s="48"/>
      <c r="AB7" s="50"/>
      <c r="AC7" s="48"/>
      <c r="AE7" s="50"/>
      <c r="AF7" s="48"/>
      <c r="AG7" s="48">
        <v>89475.95</v>
      </c>
      <c r="AH7" s="50">
        <v>491.99</v>
      </c>
      <c r="AI7" s="48"/>
      <c r="AJ7" s="48">
        <v>129968.59</v>
      </c>
      <c r="AK7" s="50">
        <v>491.99</v>
      </c>
      <c r="AL7" s="48"/>
      <c r="AM7" s="10">
        <f t="shared" ref="AM7:AM13" si="0">C7+F7+I7+L7+O7+R7+U7+X7+AA7+AD7+AG7+AJ7</f>
        <v>219444.53999999998</v>
      </c>
      <c r="AN7" s="10">
        <f>D7+G7+J7+M7+P7+S7+V7+Y7+AB7+AE7+AH7+AK7</f>
        <v>2951.9399999999996</v>
      </c>
      <c r="AO7" s="10">
        <f t="shared" ref="AO7:AO13" si="1">E7+H7+K7+N7+Q7+T7+W7+Z7+AC7+AF7+AI7+AL7</f>
        <v>2459.9499999999998</v>
      </c>
    </row>
    <row r="8" spans="1:41" x14ac:dyDescent="0.25">
      <c r="A8" s="19"/>
      <c r="B8" s="45" t="s">
        <v>34</v>
      </c>
      <c r="C8" s="85"/>
      <c r="D8" s="17">
        <v>427990.5</v>
      </c>
      <c r="E8" s="10">
        <v>412513.42999999982</v>
      </c>
      <c r="F8" s="18"/>
      <c r="G8" s="18">
        <v>456130.53</v>
      </c>
      <c r="H8" s="18">
        <v>412513.48999999982</v>
      </c>
      <c r="I8" s="18"/>
      <c r="J8" s="10">
        <v>456130.53</v>
      </c>
      <c r="K8" s="18">
        <v>412513.42999999982</v>
      </c>
      <c r="M8" s="10">
        <v>412513.48</v>
      </c>
      <c r="N8" s="50">
        <v>412513.49999999983</v>
      </c>
      <c r="P8" s="50">
        <v>412382.78129032243</v>
      </c>
      <c r="Q8" s="50">
        <v>412513.42999999982</v>
      </c>
      <c r="S8" s="50">
        <v>412513.48</v>
      </c>
      <c r="T8" s="48"/>
      <c r="V8" s="50">
        <v>412513.46</v>
      </c>
      <c r="W8" s="48"/>
      <c r="Y8" s="50">
        <v>412513.48</v>
      </c>
      <c r="Z8" s="48"/>
      <c r="AB8" s="50">
        <v>412513.43</v>
      </c>
      <c r="AC8" s="48"/>
      <c r="AE8" s="50">
        <v>412513.48</v>
      </c>
      <c r="AF8" s="48"/>
      <c r="AH8" s="50">
        <v>412513.43</v>
      </c>
      <c r="AI8" s="48"/>
      <c r="AK8" s="50">
        <v>412513.49</v>
      </c>
      <c r="AL8" s="48"/>
      <c r="AM8" s="10">
        <f t="shared" si="0"/>
        <v>0</v>
      </c>
      <c r="AN8" s="10">
        <f>D8+G8+J8+M8+P8+S8+V8+Y8+AB8+AE8+AH8+AK8</f>
        <v>5052742.0712903226</v>
      </c>
      <c r="AO8" s="10">
        <f t="shared" si="1"/>
        <v>2062567.2799999993</v>
      </c>
    </row>
    <row r="9" spans="1:41" s="44" customFormat="1" x14ac:dyDescent="0.25">
      <c r="A9" s="102"/>
      <c r="B9" s="45" t="s">
        <v>35</v>
      </c>
      <c r="C9" s="103">
        <v>4811632.8679999998</v>
      </c>
      <c r="D9" s="56">
        <v>4513366.55</v>
      </c>
      <c r="E9" s="104">
        <v>7097506.4700000007</v>
      </c>
      <c r="F9" s="44">
        <v>4811632.8679999998</v>
      </c>
      <c r="G9" s="54">
        <v>4547402.01</v>
      </c>
      <c r="H9" s="54">
        <v>7095640.6500000013</v>
      </c>
      <c r="I9" s="44">
        <v>4806982.49</v>
      </c>
      <c r="J9" s="50">
        <v>4528979.78</v>
      </c>
      <c r="K9" s="54">
        <v>7095775.2699999996</v>
      </c>
      <c r="L9" s="50">
        <v>4692657.16</v>
      </c>
      <c r="M9" s="50">
        <v>5245814.4800000004</v>
      </c>
      <c r="N9" s="50">
        <v>7087733.5199999986</v>
      </c>
      <c r="O9" s="48">
        <v>5027358.54</v>
      </c>
      <c r="P9" s="50">
        <f>4942165.63+1392933.21</f>
        <v>6335098.8399999999</v>
      </c>
      <c r="Q9" s="50">
        <v>7087733.040000001</v>
      </c>
      <c r="R9" s="48">
        <v>4970804.9400000004</v>
      </c>
      <c r="S9" s="50">
        <v>6305032.3399999999</v>
      </c>
      <c r="T9" s="48"/>
      <c r="U9" s="48">
        <v>5814119.21</v>
      </c>
      <c r="V9" s="50">
        <v>6350469.2400000002</v>
      </c>
      <c r="W9" s="48"/>
      <c r="X9" s="48">
        <v>5814118.7800000003</v>
      </c>
      <c r="Y9" s="50">
        <v>6350469.5199999996</v>
      </c>
      <c r="Z9" s="48"/>
      <c r="AA9" s="48">
        <v>5836178.0300000003</v>
      </c>
      <c r="AB9" s="50">
        <v>6430877.7199999997</v>
      </c>
      <c r="AC9" s="48"/>
      <c r="AD9" s="48">
        <v>5800984.7400000002</v>
      </c>
      <c r="AE9" s="50">
        <v>7736171.9500000002</v>
      </c>
      <c r="AF9" s="48"/>
      <c r="AG9" s="48">
        <v>4582331.25</v>
      </c>
      <c r="AH9" s="50">
        <v>7735610.7699999996</v>
      </c>
      <c r="AI9" s="48"/>
      <c r="AJ9" s="48">
        <v>7866842.5700000003</v>
      </c>
      <c r="AK9" s="50">
        <v>7741349.9100000001</v>
      </c>
      <c r="AL9" s="48"/>
      <c r="AM9" s="10">
        <f t="shared" si="0"/>
        <v>64835643.446000002</v>
      </c>
      <c r="AN9" s="50">
        <f>D9+G9+J9+M9+P9+S9+V9+Y9+AB9+AE9+AH9+AK9</f>
        <v>73820643.109999999</v>
      </c>
      <c r="AO9" s="50">
        <f t="shared" si="1"/>
        <v>35464388.950000003</v>
      </c>
    </row>
    <row r="10" spans="1:41" x14ac:dyDescent="0.25">
      <c r="A10" s="19"/>
      <c r="B10" s="45" t="s">
        <v>50</v>
      </c>
      <c r="C10" s="89">
        <v>9593.86</v>
      </c>
      <c r="D10" s="91"/>
      <c r="E10" s="78"/>
      <c r="F10" s="3">
        <v>9593.86</v>
      </c>
      <c r="G10" s="18"/>
      <c r="H10" s="18"/>
      <c r="I10" s="3">
        <v>9593.86</v>
      </c>
      <c r="J10" s="10"/>
      <c r="K10" s="18"/>
      <c r="L10" s="10">
        <v>9593.86</v>
      </c>
      <c r="M10" s="10"/>
      <c r="N10" s="10"/>
      <c r="O10" s="48">
        <v>9593.86</v>
      </c>
      <c r="P10" s="50"/>
      <c r="Q10" s="48"/>
      <c r="R10" s="48">
        <v>9593.86</v>
      </c>
      <c r="S10" s="50"/>
      <c r="T10" s="48"/>
      <c r="U10" s="48">
        <v>9593.86</v>
      </c>
      <c r="V10" s="50"/>
      <c r="W10" s="48"/>
      <c r="X10" s="48">
        <v>9593.86</v>
      </c>
      <c r="Y10" s="50"/>
      <c r="Z10" s="48"/>
      <c r="AA10" s="48">
        <v>9593.86</v>
      </c>
      <c r="AB10" s="50"/>
      <c r="AC10" s="48"/>
      <c r="AD10" s="48">
        <v>9593.86</v>
      </c>
      <c r="AE10" s="50"/>
      <c r="AF10" s="48"/>
      <c r="AG10" s="2">
        <v>491.99</v>
      </c>
      <c r="AH10" s="50"/>
      <c r="AI10" s="48"/>
      <c r="AJ10" s="2">
        <v>1598.98</v>
      </c>
      <c r="AK10" s="50"/>
      <c r="AL10" s="48"/>
      <c r="AM10" s="10">
        <f t="shared" si="0"/>
        <v>98029.57</v>
      </c>
      <c r="AN10" s="10"/>
      <c r="AO10" s="10">
        <f t="shared" si="1"/>
        <v>0</v>
      </c>
    </row>
    <row r="11" spans="1:41" x14ac:dyDescent="0.25">
      <c r="A11" s="19"/>
      <c r="B11" s="45" t="s">
        <v>51</v>
      </c>
      <c r="C11" s="90">
        <v>749623.45900000003</v>
      </c>
      <c r="D11" s="91"/>
      <c r="E11" s="78"/>
      <c r="F11" s="3">
        <v>749623.45900000003</v>
      </c>
      <c r="G11" s="18"/>
      <c r="H11" s="18"/>
      <c r="I11" s="3">
        <v>715055.48</v>
      </c>
      <c r="J11" s="10"/>
      <c r="K11" s="18"/>
      <c r="L11" s="10">
        <v>798472.01</v>
      </c>
      <c r="M11" s="10"/>
      <c r="N11" s="10"/>
      <c r="O11" s="48">
        <v>798472.04</v>
      </c>
      <c r="P11" s="50"/>
      <c r="Q11" s="48"/>
      <c r="R11" s="48">
        <v>798472.01</v>
      </c>
      <c r="S11" s="50"/>
      <c r="T11" s="48"/>
      <c r="U11" s="48">
        <v>798472.14</v>
      </c>
      <c r="V11" s="50"/>
      <c r="W11" s="48"/>
      <c r="X11" s="48">
        <v>798472.01</v>
      </c>
      <c r="Y11" s="50"/>
      <c r="Z11" s="48"/>
      <c r="AA11" s="48">
        <v>798472.14</v>
      </c>
      <c r="AB11" s="50"/>
      <c r="AC11" s="48"/>
      <c r="AD11" s="48">
        <v>798472.01</v>
      </c>
      <c r="AE11" s="50"/>
      <c r="AF11" s="48"/>
      <c r="AG11" s="48">
        <v>507019.02</v>
      </c>
      <c r="AH11" s="50"/>
      <c r="AI11" s="48"/>
      <c r="AJ11" s="48">
        <v>685766.12</v>
      </c>
      <c r="AK11" s="50"/>
      <c r="AL11" s="48"/>
      <c r="AM11" s="10">
        <f t="shared" si="0"/>
        <v>8996391.8979999982</v>
      </c>
      <c r="AN11" s="10"/>
      <c r="AO11" s="10">
        <f t="shared" si="1"/>
        <v>0</v>
      </c>
    </row>
    <row r="12" spans="1:41" x14ac:dyDescent="0.25">
      <c r="A12" s="19"/>
      <c r="B12" s="14" t="s">
        <v>11</v>
      </c>
      <c r="C12" s="86"/>
      <c r="D12" s="16"/>
      <c r="E12" s="10">
        <v>15277.78</v>
      </c>
      <c r="F12" s="18"/>
      <c r="G12" s="18">
        <v>15277.78</v>
      </c>
      <c r="H12" s="18">
        <v>15277.78</v>
      </c>
      <c r="I12" s="18"/>
      <c r="J12" s="10">
        <v>15277.78</v>
      </c>
      <c r="K12" s="18">
        <v>15277.78</v>
      </c>
      <c r="L12" s="10"/>
      <c r="M12" s="10">
        <v>15277.78</v>
      </c>
      <c r="N12" s="10">
        <v>15277.78</v>
      </c>
      <c r="O12" s="48"/>
      <c r="P12" s="50">
        <v>15277.78</v>
      </c>
      <c r="Q12" s="50">
        <v>15277.78</v>
      </c>
      <c r="R12" s="48"/>
      <c r="S12" s="50">
        <v>15277.78</v>
      </c>
      <c r="T12" s="48"/>
      <c r="U12" s="48"/>
      <c r="V12" s="50">
        <v>15277.78</v>
      </c>
      <c r="W12" s="48"/>
      <c r="X12" s="48"/>
      <c r="Y12" s="50">
        <v>15277.78</v>
      </c>
      <c r="Z12" s="48"/>
      <c r="AA12" s="48"/>
      <c r="AB12" s="50">
        <v>15277.78</v>
      </c>
      <c r="AC12" s="48"/>
      <c r="AD12" s="48"/>
      <c r="AE12" s="50">
        <v>15277.78</v>
      </c>
      <c r="AF12" s="48"/>
      <c r="AG12" s="48"/>
      <c r="AH12" s="50">
        <v>15277.78</v>
      </c>
      <c r="AI12" s="48"/>
      <c r="AJ12" s="48"/>
      <c r="AK12" s="50">
        <v>15277.78</v>
      </c>
      <c r="AL12" s="48"/>
      <c r="AM12" s="10">
        <f t="shared" si="0"/>
        <v>0</v>
      </c>
      <c r="AN12" s="10">
        <f>E12+G12+J12+M12+P12+S12+V12+Y12+AB12+AE12+AH12+AK12</f>
        <v>183333.36000000002</v>
      </c>
      <c r="AO12" s="10">
        <f t="shared" si="1"/>
        <v>76388.900000000009</v>
      </c>
    </row>
    <row r="13" spans="1:41" ht="15.75" thickBot="1" x14ac:dyDescent="0.3">
      <c r="A13" s="19"/>
      <c r="B13" s="14" t="s">
        <v>12</v>
      </c>
      <c r="C13" s="86"/>
      <c r="D13" s="16"/>
      <c r="E13" s="10">
        <v>56554.67</v>
      </c>
      <c r="F13" s="18"/>
      <c r="G13" s="18">
        <v>56554.66</v>
      </c>
      <c r="H13" s="18">
        <v>56554.659999999996</v>
      </c>
      <c r="I13" s="18"/>
      <c r="J13" s="17">
        <v>56554.66</v>
      </c>
      <c r="K13" s="18">
        <v>56554.67</v>
      </c>
      <c r="L13" s="10"/>
      <c r="M13" s="10">
        <v>56554.66</v>
      </c>
      <c r="N13" s="10">
        <v>56554.659999999996</v>
      </c>
      <c r="O13" s="48"/>
      <c r="P13" s="50">
        <v>56554.66</v>
      </c>
      <c r="Q13" s="50">
        <v>56554.67</v>
      </c>
      <c r="R13" s="48"/>
      <c r="S13" s="50">
        <v>56554.66</v>
      </c>
      <c r="T13" s="48"/>
      <c r="U13" s="48"/>
      <c r="V13" s="50">
        <v>56554.66</v>
      </c>
      <c r="W13" s="48"/>
      <c r="X13" s="48"/>
      <c r="Y13" s="50">
        <v>56554.66</v>
      </c>
      <c r="Z13" s="48"/>
      <c r="AA13" s="48"/>
      <c r="AB13" s="50">
        <v>56554.66</v>
      </c>
      <c r="AC13" s="48"/>
      <c r="AD13" s="48"/>
      <c r="AE13" s="50">
        <v>56554.66</v>
      </c>
      <c r="AF13" s="48"/>
      <c r="AG13" s="48"/>
      <c r="AH13" s="50">
        <v>56554.67</v>
      </c>
      <c r="AI13" s="48"/>
      <c r="AJ13" s="48"/>
      <c r="AK13" s="50">
        <v>56554.67</v>
      </c>
      <c r="AL13" s="48"/>
      <c r="AM13" s="10">
        <f t="shared" si="0"/>
        <v>0</v>
      </c>
      <c r="AN13" s="10">
        <f>E13+G13+J13+M13+P13+S13+V13+Y13+AB13+AE13+AH13+AK13</f>
        <v>678655.95000000019</v>
      </c>
      <c r="AO13" s="10">
        <f t="shared" si="1"/>
        <v>282773.33</v>
      </c>
    </row>
    <row r="14" spans="1:41" s="24" customFormat="1" thickBot="1" x14ac:dyDescent="0.25">
      <c r="A14" s="20"/>
      <c r="B14" s="21" t="s">
        <v>7</v>
      </c>
      <c r="C14" s="22">
        <f t="shared" ref="C14:AO14" si="2">SUM(C6:C13)</f>
        <v>5570850.1869999999</v>
      </c>
      <c r="D14" s="22">
        <f t="shared" si="2"/>
        <v>5071817.63</v>
      </c>
      <c r="E14" s="22">
        <f t="shared" si="2"/>
        <v>7712312.8400000008</v>
      </c>
      <c r="F14" s="22">
        <f t="shared" si="2"/>
        <v>5570850.1869999999</v>
      </c>
      <c r="G14" s="22">
        <f t="shared" si="2"/>
        <v>5205825.5600000005</v>
      </c>
      <c r="H14" s="22">
        <f t="shared" si="2"/>
        <v>7710447.1600000011</v>
      </c>
      <c r="I14" s="22">
        <f t="shared" si="2"/>
        <v>5531631.8300000001</v>
      </c>
      <c r="J14" s="22">
        <f t="shared" si="2"/>
        <v>5187403.330000001</v>
      </c>
      <c r="K14" s="22">
        <f t="shared" si="2"/>
        <v>7710581.6399999997</v>
      </c>
      <c r="L14" s="27">
        <f t="shared" si="2"/>
        <v>5500723.0300000003</v>
      </c>
      <c r="M14" s="27">
        <f t="shared" si="2"/>
        <v>5860620.9800000004</v>
      </c>
      <c r="N14" s="27">
        <f t="shared" si="2"/>
        <v>7702540.0399999991</v>
      </c>
      <c r="O14" s="27">
        <f t="shared" si="2"/>
        <v>5835424.4400000004</v>
      </c>
      <c r="P14" s="27">
        <f t="shared" si="2"/>
        <v>6949282.6512903227</v>
      </c>
      <c r="Q14" s="27">
        <f t="shared" si="2"/>
        <v>7702539.4200000009</v>
      </c>
      <c r="R14" s="27">
        <f t="shared" si="2"/>
        <v>5778870.8100000005</v>
      </c>
      <c r="S14" s="27">
        <f t="shared" si="2"/>
        <v>6919346.8500000006</v>
      </c>
      <c r="T14" s="27">
        <f t="shared" si="2"/>
        <v>0</v>
      </c>
      <c r="U14" s="27">
        <f t="shared" si="2"/>
        <v>6622185.21</v>
      </c>
      <c r="V14" s="27">
        <f t="shared" si="2"/>
        <v>6964783.6400000006</v>
      </c>
      <c r="W14" s="27">
        <f t="shared" si="2"/>
        <v>0</v>
      </c>
      <c r="X14" s="27">
        <f t="shared" si="2"/>
        <v>6622184.6500000004</v>
      </c>
      <c r="Y14" s="27">
        <f t="shared" si="2"/>
        <v>6964784.0300000003</v>
      </c>
      <c r="Z14" s="27">
        <f t="shared" si="2"/>
        <v>0</v>
      </c>
      <c r="AA14" s="27">
        <f t="shared" si="2"/>
        <v>6644244.0300000003</v>
      </c>
      <c r="AB14" s="63">
        <f t="shared" si="2"/>
        <v>7045192.0899999999</v>
      </c>
      <c r="AC14" s="63">
        <f t="shared" si="2"/>
        <v>0</v>
      </c>
      <c r="AD14" s="63">
        <f t="shared" si="2"/>
        <v>6609050.6100000003</v>
      </c>
      <c r="AE14" s="55">
        <f t="shared" si="2"/>
        <v>8350486.4600000009</v>
      </c>
      <c r="AF14" s="55">
        <f t="shared" si="2"/>
        <v>0</v>
      </c>
      <c r="AG14" s="55">
        <f t="shared" si="2"/>
        <v>5179318.2100000009</v>
      </c>
      <c r="AH14" s="27">
        <f t="shared" si="2"/>
        <v>8350417.1399999997</v>
      </c>
      <c r="AI14" s="27">
        <f t="shared" si="2"/>
        <v>0</v>
      </c>
      <c r="AJ14" s="27">
        <f t="shared" si="2"/>
        <v>8684176.2599999998</v>
      </c>
      <c r="AK14" s="27">
        <f t="shared" si="2"/>
        <v>8356156.4300000006</v>
      </c>
      <c r="AL14" s="27">
        <f t="shared" si="2"/>
        <v>0</v>
      </c>
      <c r="AM14" s="97">
        <f t="shared" si="2"/>
        <v>74149509.453999996</v>
      </c>
      <c r="AN14" s="98">
        <f t="shared" si="2"/>
        <v>81297949.241290331</v>
      </c>
      <c r="AO14" s="98">
        <f t="shared" si="2"/>
        <v>38538421.100000001</v>
      </c>
    </row>
    <row r="15" spans="1:41" s="24" customFormat="1" thickBot="1" x14ac:dyDescent="0.25">
      <c r="A15" s="25"/>
      <c r="B15" s="26" t="s">
        <v>8</v>
      </c>
      <c r="C15" s="92">
        <f>C14*0.8</f>
        <v>4456680.1496000001</v>
      </c>
      <c r="D15" s="27">
        <f t="shared" ref="D15:AO15" si="3">D14*0.75</f>
        <v>3803863.2225000001</v>
      </c>
      <c r="E15" s="27">
        <f t="shared" si="3"/>
        <v>5784234.6300000008</v>
      </c>
      <c r="F15" s="27">
        <f>F14*0.8</f>
        <v>4456680.1496000001</v>
      </c>
      <c r="G15" s="27">
        <f t="shared" si="3"/>
        <v>3904369.1700000004</v>
      </c>
      <c r="H15" s="27">
        <f t="shared" si="3"/>
        <v>5782835.370000001</v>
      </c>
      <c r="I15" s="27">
        <f>I14*0.8</f>
        <v>4425305.4640000006</v>
      </c>
      <c r="J15" s="27">
        <f t="shared" si="3"/>
        <v>3890552.4975000005</v>
      </c>
      <c r="K15" s="27">
        <f t="shared" si="3"/>
        <v>5782936.2299999995</v>
      </c>
      <c r="L15" s="27">
        <f>L14*0.8</f>
        <v>4400578.4240000006</v>
      </c>
      <c r="M15" s="27">
        <f t="shared" si="3"/>
        <v>4395465.7350000003</v>
      </c>
      <c r="N15" s="27">
        <f t="shared" si="3"/>
        <v>5776905.0299999993</v>
      </c>
      <c r="O15" s="27">
        <f>O14*0.8</f>
        <v>4668339.5520000001</v>
      </c>
      <c r="P15" s="27">
        <f t="shared" si="3"/>
        <v>5211961.9884677418</v>
      </c>
      <c r="Q15" s="27">
        <f t="shared" si="3"/>
        <v>5776904.5650000004</v>
      </c>
      <c r="R15" s="27">
        <f>R14*0.8</f>
        <v>4623096.648000001</v>
      </c>
      <c r="S15" s="27">
        <f t="shared" si="3"/>
        <v>5189510.1375000002</v>
      </c>
      <c r="T15" s="27">
        <f t="shared" si="3"/>
        <v>0</v>
      </c>
      <c r="U15" s="27">
        <f>U14*0.8</f>
        <v>5297748.1680000005</v>
      </c>
      <c r="V15" s="27">
        <f t="shared" si="3"/>
        <v>5223587.7300000004</v>
      </c>
      <c r="W15" s="27">
        <f t="shared" si="3"/>
        <v>0</v>
      </c>
      <c r="X15" s="27">
        <f>X14*0.8</f>
        <v>5297747.7200000007</v>
      </c>
      <c r="Y15" s="27">
        <f t="shared" si="3"/>
        <v>5223588.0225</v>
      </c>
      <c r="Z15" s="27">
        <f t="shared" si="3"/>
        <v>0</v>
      </c>
      <c r="AA15" s="27">
        <f>AA14*0.8</f>
        <v>5315395.2240000004</v>
      </c>
      <c r="AB15" s="63">
        <f t="shared" si="3"/>
        <v>5283894.0674999999</v>
      </c>
      <c r="AC15" s="63">
        <f t="shared" si="3"/>
        <v>0</v>
      </c>
      <c r="AD15" s="63">
        <f>AD14*0.8</f>
        <v>5287240.4880000008</v>
      </c>
      <c r="AE15" s="55">
        <f t="shared" si="3"/>
        <v>6262864.8450000007</v>
      </c>
      <c r="AF15" s="55">
        <f t="shared" si="3"/>
        <v>0</v>
      </c>
      <c r="AG15" s="55">
        <f>AG14*0.8</f>
        <v>4143454.5680000009</v>
      </c>
      <c r="AH15" s="27">
        <f t="shared" si="3"/>
        <v>6262812.8549999995</v>
      </c>
      <c r="AI15" s="27">
        <f t="shared" si="3"/>
        <v>0</v>
      </c>
      <c r="AJ15" s="27">
        <f>AJ14*0.8</f>
        <v>6947341.0080000004</v>
      </c>
      <c r="AK15" s="27">
        <f t="shared" si="3"/>
        <v>6267117.3225000007</v>
      </c>
      <c r="AL15" s="27">
        <f t="shared" si="3"/>
        <v>0</v>
      </c>
      <c r="AM15" s="27">
        <f>AM14*0.8</f>
        <v>59319607.563199997</v>
      </c>
      <c r="AN15" s="27">
        <f t="shared" si="3"/>
        <v>60973461.930967748</v>
      </c>
      <c r="AO15" s="27">
        <f t="shared" si="3"/>
        <v>28903815.825000003</v>
      </c>
    </row>
    <row r="17" spans="17:18" x14ac:dyDescent="0.25">
      <c r="Q17" s="52"/>
      <c r="R17" s="52"/>
    </row>
  </sheetData>
  <mergeCells count="17">
    <mergeCell ref="AD3:AF3"/>
    <mergeCell ref="AG3:AI3"/>
    <mergeCell ref="D1:AO1"/>
    <mergeCell ref="AM3:AO3"/>
    <mergeCell ref="AJ3:AL3"/>
    <mergeCell ref="A2:A5"/>
    <mergeCell ref="B2:B5"/>
    <mergeCell ref="C2:AO2"/>
    <mergeCell ref="C3:E3"/>
    <mergeCell ref="F3:H3"/>
    <mergeCell ref="I3:K3"/>
    <mergeCell ref="L3:N3"/>
    <mergeCell ref="O3:Q3"/>
    <mergeCell ref="R3:T3"/>
    <mergeCell ref="U3:W3"/>
    <mergeCell ref="X3:Z3"/>
    <mergeCell ref="AA3:AC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AO2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29" sqref="N29"/>
    </sheetView>
  </sheetViews>
  <sheetFormatPr defaultColWidth="9.140625" defaultRowHeight="15" x14ac:dyDescent="0.25"/>
  <cols>
    <col min="1" max="1" width="6.28515625" style="3" customWidth="1"/>
    <col min="2" max="2" width="12.5703125" style="3" customWidth="1"/>
    <col min="3" max="3" width="16.140625" style="3" customWidth="1"/>
    <col min="4" max="4" width="20" style="3" customWidth="1"/>
    <col min="5" max="27" width="16" style="3" customWidth="1"/>
    <col min="28" max="28" width="16" style="64" customWidth="1"/>
    <col min="29" max="30" width="16" style="3" customWidth="1"/>
    <col min="31" max="31" width="18.140625" style="44" customWidth="1"/>
    <col min="32" max="39" width="18.140625" style="3" customWidth="1"/>
    <col min="40" max="41" width="18" style="3" customWidth="1"/>
    <col min="42" max="16384" width="9.140625" style="3"/>
  </cols>
  <sheetData>
    <row r="1" spans="1:41" x14ac:dyDescent="0.25">
      <c r="A1" s="1"/>
      <c r="B1" s="2"/>
      <c r="C1" s="83"/>
      <c r="D1" s="149" t="s">
        <v>1</v>
      </c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1"/>
      <c r="AO1" s="152"/>
    </row>
    <row r="2" spans="1:41" x14ac:dyDescent="0.25">
      <c r="A2" s="143" t="s">
        <v>2</v>
      </c>
      <c r="B2" s="158" t="s">
        <v>3</v>
      </c>
      <c r="C2" s="153" t="s">
        <v>4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54"/>
      <c r="AM2" s="82"/>
      <c r="AN2" s="4"/>
      <c r="AO2" s="4"/>
    </row>
    <row r="3" spans="1:41" x14ac:dyDescent="0.25">
      <c r="A3" s="143"/>
      <c r="B3" s="158"/>
      <c r="C3" s="153" t="s">
        <v>9</v>
      </c>
      <c r="D3" s="142"/>
      <c r="E3" s="155"/>
      <c r="F3" s="156" t="s">
        <v>10</v>
      </c>
      <c r="G3" s="142"/>
      <c r="H3" s="154"/>
      <c r="I3" s="157" t="s">
        <v>14</v>
      </c>
      <c r="J3" s="142"/>
      <c r="K3" s="155"/>
      <c r="L3" s="153" t="s">
        <v>15</v>
      </c>
      <c r="M3" s="142" t="s">
        <v>15</v>
      </c>
      <c r="N3" s="155"/>
      <c r="O3" s="153" t="s">
        <v>16</v>
      </c>
      <c r="P3" s="142" t="s">
        <v>16</v>
      </c>
      <c r="Q3" s="155"/>
      <c r="R3" s="153" t="s">
        <v>17</v>
      </c>
      <c r="S3" s="142" t="s">
        <v>17</v>
      </c>
      <c r="T3" s="155"/>
      <c r="U3" s="153" t="s">
        <v>18</v>
      </c>
      <c r="V3" s="142" t="s">
        <v>18</v>
      </c>
      <c r="W3" s="155"/>
      <c r="X3" s="153" t="s">
        <v>19</v>
      </c>
      <c r="Y3" s="142" t="s">
        <v>19</v>
      </c>
      <c r="Z3" s="155"/>
      <c r="AA3" s="153" t="s">
        <v>20</v>
      </c>
      <c r="AB3" s="142" t="s">
        <v>20</v>
      </c>
      <c r="AC3" s="155"/>
      <c r="AD3" s="153" t="s">
        <v>21</v>
      </c>
      <c r="AE3" s="142" t="s">
        <v>21</v>
      </c>
      <c r="AF3" s="155"/>
      <c r="AG3" s="153" t="s">
        <v>22</v>
      </c>
      <c r="AH3" s="142" t="s">
        <v>22</v>
      </c>
      <c r="AI3" s="155"/>
      <c r="AJ3" s="153" t="s">
        <v>23</v>
      </c>
      <c r="AK3" s="142" t="s">
        <v>23</v>
      </c>
      <c r="AL3" s="155"/>
      <c r="AM3" s="159" t="s">
        <v>7</v>
      </c>
      <c r="AN3" s="142"/>
      <c r="AO3" s="154"/>
    </row>
    <row r="4" spans="1:41" x14ac:dyDescent="0.25">
      <c r="A4" s="143"/>
      <c r="B4" s="158"/>
      <c r="C4" s="87">
        <v>2024</v>
      </c>
      <c r="D4" s="5">
        <v>2025</v>
      </c>
      <c r="E4" s="1">
        <v>2026</v>
      </c>
      <c r="F4" s="87">
        <v>2024</v>
      </c>
      <c r="G4" s="5">
        <v>2025</v>
      </c>
      <c r="H4" s="1">
        <v>2026</v>
      </c>
      <c r="I4" s="87">
        <v>2024</v>
      </c>
      <c r="J4" s="5">
        <v>2025</v>
      </c>
      <c r="K4" s="1">
        <v>2026</v>
      </c>
      <c r="L4" s="28">
        <v>2024</v>
      </c>
      <c r="M4" s="5">
        <v>2025</v>
      </c>
      <c r="N4" s="1">
        <v>2026</v>
      </c>
      <c r="O4" s="28">
        <v>2024</v>
      </c>
      <c r="P4" s="5">
        <v>2025</v>
      </c>
      <c r="Q4" s="1">
        <v>2026</v>
      </c>
      <c r="R4" s="28">
        <v>2024</v>
      </c>
      <c r="S4" s="5">
        <v>2025</v>
      </c>
      <c r="T4" s="1">
        <v>2026</v>
      </c>
      <c r="U4" s="28">
        <v>2024</v>
      </c>
      <c r="V4" s="5">
        <v>2025</v>
      </c>
      <c r="W4" s="1">
        <v>2026</v>
      </c>
      <c r="X4" s="28">
        <v>2024</v>
      </c>
      <c r="Y4" s="5">
        <v>2025</v>
      </c>
      <c r="Z4" s="1">
        <v>2026</v>
      </c>
      <c r="AA4" s="28">
        <v>2024</v>
      </c>
      <c r="AB4" s="5">
        <v>2025</v>
      </c>
      <c r="AC4" s="1">
        <v>2026</v>
      </c>
      <c r="AD4" s="28">
        <v>2024</v>
      </c>
      <c r="AE4" s="5">
        <v>2025</v>
      </c>
      <c r="AF4" s="1">
        <v>2026</v>
      </c>
      <c r="AG4" s="28">
        <v>2024</v>
      </c>
      <c r="AH4" s="5">
        <v>2025</v>
      </c>
      <c r="AI4" s="1">
        <v>2026</v>
      </c>
      <c r="AJ4" s="28">
        <v>2024</v>
      </c>
      <c r="AK4" s="5">
        <v>2025</v>
      </c>
      <c r="AL4" s="1">
        <v>2026</v>
      </c>
      <c r="AM4" s="28">
        <v>2024</v>
      </c>
      <c r="AN4" s="5">
        <v>2025</v>
      </c>
      <c r="AO4" s="1">
        <v>2026</v>
      </c>
    </row>
    <row r="5" spans="1:41" x14ac:dyDescent="0.25">
      <c r="A5" s="143"/>
      <c r="B5" s="158"/>
      <c r="C5" s="5" t="s">
        <v>5</v>
      </c>
      <c r="D5" s="5" t="s">
        <v>5</v>
      </c>
      <c r="E5" s="1" t="s">
        <v>5</v>
      </c>
      <c r="F5" s="5" t="s">
        <v>5</v>
      </c>
      <c r="G5" s="1" t="s">
        <v>5</v>
      </c>
      <c r="H5" s="2" t="s">
        <v>5</v>
      </c>
      <c r="I5" s="5" t="s">
        <v>5</v>
      </c>
      <c r="J5" s="1" t="s">
        <v>5</v>
      </c>
      <c r="K5" s="2" t="s">
        <v>5</v>
      </c>
      <c r="L5" s="2"/>
      <c r="M5" s="1" t="s">
        <v>5</v>
      </c>
      <c r="N5" s="2" t="s">
        <v>5</v>
      </c>
      <c r="O5" s="2"/>
      <c r="P5" s="1" t="s">
        <v>5</v>
      </c>
      <c r="Q5" s="2" t="s">
        <v>5</v>
      </c>
      <c r="R5" s="2"/>
      <c r="S5" s="1" t="s">
        <v>5</v>
      </c>
      <c r="T5" s="2" t="s">
        <v>5</v>
      </c>
      <c r="U5" s="2"/>
      <c r="V5" s="1" t="s">
        <v>5</v>
      </c>
      <c r="W5" s="2" t="s">
        <v>5</v>
      </c>
      <c r="X5" s="2"/>
      <c r="Y5" s="1" t="s">
        <v>5</v>
      </c>
      <c r="Z5" s="2" t="s">
        <v>5</v>
      </c>
      <c r="AA5" s="2"/>
      <c r="AB5" s="62" t="s">
        <v>5</v>
      </c>
      <c r="AC5" s="2" t="s">
        <v>5</v>
      </c>
      <c r="AD5" s="2"/>
      <c r="AE5" s="48" t="s">
        <v>5</v>
      </c>
      <c r="AF5" s="2" t="s">
        <v>5</v>
      </c>
      <c r="AG5" s="2"/>
      <c r="AH5" s="1" t="s">
        <v>5</v>
      </c>
      <c r="AI5" s="2" t="s">
        <v>5</v>
      </c>
      <c r="AJ5" s="2"/>
      <c r="AK5" s="1" t="s">
        <v>5</v>
      </c>
      <c r="AL5" s="2" t="s">
        <v>5</v>
      </c>
      <c r="AM5" s="1" t="s">
        <v>5</v>
      </c>
      <c r="AN5" s="1" t="s">
        <v>5</v>
      </c>
      <c r="AO5" s="2" t="s">
        <v>5</v>
      </c>
    </row>
    <row r="6" spans="1:41" x14ac:dyDescent="0.25">
      <c r="A6" s="8" t="s">
        <v>6</v>
      </c>
      <c r="B6" s="14" t="s">
        <v>46</v>
      </c>
      <c r="C6" s="101"/>
      <c r="D6" s="50">
        <v>2632828.7400000002</v>
      </c>
      <c r="E6" s="50">
        <v>5721257.4699999997</v>
      </c>
      <c r="F6" s="50"/>
      <c r="G6" s="50">
        <v>3499883.26</v>
      </c>
      <c r="H6" s="50">
        <v>5622311.9100000011</v>
      </c>
      <c r="I6" s="50"/>
      <c r="J6" s="50">
        <v>3585149.99</v>
      </c>
      <c r="K6" s="50">
        <v>5622312.0500000017</v>
      </c>
      <c r="L6" s="50"/>
      <c r="M6" s="50">
        <v>3142531.89</v>
      </c>
      <c r="N6" s="50">
        <v>5622206.6500000013</v>
      </c>
      <c r="O6" s="48"/>
      <c r="P6" s="50">
        <v>3129893.88</v>
      </c>
      <c r="Q6" s="50">
        <v>5622206.6500000013</v>
      </c>
      <c r="R6" s="48"/>
      <c r="S6" s="50">
        <v>3102445.75</v>
      </c>
      <c r="T6" s="48"/>
      <c r="U6" s="48"/>
      <c r="V6" s="50">
        <v>3088814.48</v>
      </c>
      <c r="W6" s="48"/>
      <c r="X6" s="48"/>
      <c r="Y6" s="50">
        <v>3073583</v>
      </c>
      <c r="Z6" s="48"/>
      <c r="AA6" s="48"/>
      <c r="AB6" s="50">
        <v>3348615.91</v>
      </c>
      <c r="AC6" s="48"/>
      <c r="AD6" s="48"/>
      <c r="AE6" s="50">
        <v>3914776.5799999996</v>
      </c>
      <c r="AF6" s="48"/>
      <c r="AG6" s="48"/>
      <c r="AH6" s="50">
        <v>3876877.2199999997</v>
      </c>
      <c r="AI6" s="48"/>
      <c r="AJ6" s="48"/>
      <c r="AK6" s="50">
        <v>4054329.65</v>
      </c>
      <c r="AL6" s="48"/>
      <c r="AM6" s="10">
        <f>C6+F6+I6+L6+O6+R6+U6+X6+AA6+AD6+AG6+AJ6</f>
        <v>0</v>
      </c>
      <c r="AN6" s="10">
        <f>D6+AK6+G6+J6+M6+P6+S6+V6+Y6+AB6+AE6+AH6</f>
        <v>40449730.350000001</v>
      </c>
      <c r="AO6" s="10">
        <f t="shared" ref="AO6:AO8" si="0">E6+AL6+H6+K6+N6+Q6+T6+W6+Z6+AF6+AI6</f>
        <v>28210294.730000008</v>
      </c>
    </row>
    <row r="7" spans="1:41" x14ac:dyDescent="0.25">
      <c r="A7" s="1"/>
      <c r="B7" s="14" t="s">
        <v>13</v>
      </c>
      <c r="C7" s="101"/>
      <c r="D7" s="50">
        <v>96854.13</v>
      </c>
      <c r="E7" s="50">
        <v>96854.13</v>
      </c>
      <c r="F7" s="50"/>
      <c r="G7" s="50">
        <v>96854.13</v>
      </c>
      <c r="H7" s="50">
        <v>96854.13</v>
      </c>
      <c r="I7" s="50"/>
      <c r="J7" s="50">
        <v>96854.13</v>
      </c>
      <c r="K7" s="50">
        <v>96854.13</v>
      </c>
      <c r="L7" s="50"/>
      <c r="M7" s="50">
        <v>96854.13</v>
      </c>
      <c r="N7" s="50">
        <v>96854.13</v>
      </c>
      <c r="O7" s="48"/>
      <c r="P7" s="50">
        <v>96854.13</v>
      </c>
      <c r="Q7" s="50">
        <v>96854.13</v>
      </c>
      <c r="R7" s="48"/>
      <c r="S7" s="50">
        <v>96854.13</v>
      </c>
      <c r="T7" s="48"/>
      <c r="U7" s="48"/>
      <c r="V7" s="50">
        <v>96854.13</v>
      </c>
      <c r="W7" s="48"/>
      <c r="X7" s="48"/>
      <c r="Y7" s="50">
        <v>96854.13</v>
      </c>
      <c r="Z7" s="48"/>
      <c r="AA7" s="48"/>
      <c r="AB7" s="50">
        <v>96854.13</v>
      </c>
      <c r="AC7" s="48"/>
      <c r="AD7" s="48"/>
      <c r="AE7" s="50">
        <v>96854.13</v>
      </c>
      <c r="AF7" s="48"/>
      <c r="AG7" s="48"/>
      <c r="AH7" s="50">
        <v>96854.13</v>
      </c>
      <c r="AI7" s="48"/>
      <c r="AJ7" s="48"/>
      <c r="AK7" s="50">
        <v>96854.13</v>
      </c>
      <c r="AL7" s="48"/>
      <c r="AM7" s="10">
        <f t="shared" ref="AM7:AM10" si="1">C7+F7+I7+L7+O7+R7+U7+X7+AA7+AD7+AG7+AJ7</f>
        <v>0</v>
      </c>
      <c r="AN7" s="10">
        <f>D7+AK7+G7+J7+M7+P7+S7+V7+Y7+AB7+AE7+AH7</f>
        <v>1162249.56</v>
      </c>
      <c r="AO7" s="10">
        <f t="shared" si="0"/>
        <v>484270.65</v>
      </c>
    </row>
    <row r="8" spans="1:41" x14ac:dyDescent="0.25">
      <c r="A8" s="15"/>
      <c r="B8" s="14" t="s">
        <v>47</v>
      </c>
      <c r="C8" s="101"/>
      <c r="D8" s="50"/>
      <c r="E8" s="50">
        <v>98842.78</v>
      </c>
      <c r="F8" s="50"/>
      <c r="G8" s="50"/>
      <c r="H8" s="50">
        <v>98842.78</v>
      </c>
      <c r="I8" s="50"/>
      <c r="J8" s="50"/>
      <c r="K8" s="50">
        <v>98842.78</v>
      </c>
      <c r="L8" s="50"/>
      <c r="M8" s="50"/>
      <c r="N8" s="50">
        <v>98842.78</v>
      </c>
      <c r="O8" s="50"/>
      <c r="P8" s="50"/>
      <c r="Q8" s="50">
        <v>98842.78</v>
      </c>
      <c r="R8" s="50"/>
      <c r="S8" s="50">
        <v>98842.78</v>
      </c>
      <c r="T8" s="48"/>
      <c r="U8" s="48"/>
      <c r="V8" s="50">
        <v>98842.78</v>
      </c>
      <c r="W8" s="48"/>
      <c r="X8" s="48"/>
      <c r="Y8" s="50">
        <v>98842.78</v>
      </c>
      <c r="Z8" s="48"/>
      <c r="AA8" s="48"/>
      <c r="AB8" s="50">
        <v>98842.78</v>
      </c>
      <c r="AC8" s="48"/>
      <c r="AD8" s="48"/>
      <c r="AE8" s="50">
        <v>98842.78</v>
      </c>
      <c r="AF8" s="48"/>
      <c r="AG8" s="48"/>
      <c r="AH8" s="50">
        <v>98842.78</v>
      </c>
      <c r="AI8" s="48"/>
      <c r="AJ8" s="48"/>
      <c r="AK8" s="50">
        <v>98842.78</v>
      </c>
      <c r="AL8" s="48"/>
      <c r="AM8" s="10">
        <f t="shared" si="1"/>
        <v>0</v>
      </c>
      <c r="AN8" s="10">
        <f>E8+AK8+H8+K8+N8+Q8+S8+V8+Y8+AB8+AE8+AH8</f>
        <v>1186113.3600000001</v>
      </c>
      <c r="AO8" s="10">
        <f t="shared" si="0"/>
        <v>494213.9</v>
      </c>
    </row>
    <row r="9" spans="1:41" x14ac:dyDescent="0.25">
      <c r="A9" s="19"/>
      <c r="B9" s="14" t="s">
        <v>52</v>
      </c>
      <c r="C9" s="50">
        <f>126836.02/10</f>
        <v>12683.602000000001</v>
      </c>
      <c r="D9" s="50"/>
      <c r="E9" s="50"/>
      <c r="F9" s="50">
        <f>126836.02/10</f>
        <v>12683.602000000001</v>
      </c>
      <c r="G9" s="50"/>
      <c r="H9" s="50"/>
      <c r="I9" s="50">
        <v>36723.14</v>
      </c>
      <c r="J9" s="50"/>
      <c r="K9" s="50"/>
      <c r="L9" s="12">
        <v>16666.650000000001</v>
      </c>
      <c r="M9" s="50"/>
      <c r="N9" s="50"/>
      <c r="O9" s="12">
        <v>0</v>
      </c>
      <c r="P9" s="50"/>
      <c r="Q9" s="50"/>
      <c r="R9" s="12">
        <v>0</v>
      </c>
      <c r="S9" s="50"/>
      <c r="T9" s="48"/>
      <c r="U9" s="96">
        <v>0</v>
      </c>
      <c r="V9" s="50"/>
      <c r="W9" s="48"/>
      <c r="X9" s="96">
        <v>0</v>
      </c>
      <c r="Y9" s="50"/>
      <c r="Z9" s="48"/>
      <c r="AA9" s="89">
        <v>0</v>
      </c>
      <c r="AB9" s="50"/>
      <c r="AC9" s="48"/>
      <c r="AD9" s="96">
        <v>0</v>
      </c>
      <c r="AE9" s="50"/>
      <c r="AF9" s="48"/>
      <c r="AG9" s="11">
        <v>0</v>
      </c>
      <c r="AH9" s="50"/>
      <c r="AI9" s="48"/>
      <c r="AJ9" s="12">
        <v>0</v>
      </c>
      <c r="AK9" s="50"/>
      <c r="AL9" s="48"/>
      <c r="AM9" s="10">
        <f t="shared" si="1"/>
        <v>78756.994000000006</v>
      </c>
      <c r="AN9" s="93"/>
      <c r="AO9" s="93"/>
    </row>
    <row r="10" spans="1:41" ht="15.75" thickBot="1" x14ac:dyDescent="0.3">
      <c r="A10" s="19"/>
      <c r="B10" s="14" t="s">
        <v>53</v>
      </c>
      <c r="C10" s="50">
        <f>14132260.02/10</f>
        <v>1413226.0019999999</v>
      </c>
      <c r="D10" s="50"/>
      <c r="E10" s="50"/>
      <c r="F10" s="50">
        <f>14132260.02/10</f>
        <v>1413226.0019999999</v>
      </c>
      <c r="G10" s="50"/>
      <c r="H10" s="50"/>
      <c r="I10" s="50">
        <v>1828477.44</v>
      </c>
      <c r="J10" s="50"/>
      <c r="K10" s="50"/>
      <c r="L10" s="12">
        <v>1750211.46</v>
      </c>
      <c r="M10" s="50"/>
      <c r="N10" s="50"/>
      <c r="O10" s="12">
        <f>1550992.57+725860.89</f>
        <v>2276853.46</v>
      </c>
      <c r="P10" s="50"/>
      <c r="Q10" s="50"/>
      <c r="R10" s="12">
        <v>2420888.88</v>
      </c>
      <c r="S10" s="50"/>
      <c r="T10" s="48"/>
      <c r="U10" s="96">
        <v>2558065.39</v>
      </c>
      <c r="V10" s="50"/>
      <c r="W10" s="48"/>
      <c r="X10" s="96">
        <v>2521288.2799999998</v>
      </c>
      <c r="Y10" s="50"/>
      <c r="Z10" s="48"/>
      <c r="AA10" s="89">
        <v>2909754.37</v>
      </c>
      <c r="AB10" s="50"/>
      <c r="AC10" s="48"/>
      <c r="AD10" s="96">
        <v>2923614.53</v>
      </c>
      <c r="AE10" s="50"/>
      <c r="AF10" s="48"/>
      <c r="AG10" s="59">
        <v>3569727.08</v>
      </c>
      <c r="AH10" s="50"/>
      <c r="AI10" s="48"/>
      <c r="AJ10" s="12">
        <v>3463018.24</v>
      </c>
      <c r="AK10" s="50"/>
      <c r="AL10" s="48"/>
      <c r="AM10" s="10">
        <f t="shared" si="1"/>
        <v>29048351.134000003</v>
      </c>
      <c r="AN10" s="93"/>
      <c r="AO10" s="93"/>
    </row>
    <row r="11" spans="1:41" s="24" customFormat="1" thickBot="1" x14ac:dyDescent="0.25">
      <c r="A11" s="20"/>
      <c r="B11" s="21" t="s">
        <v>7</v>
      </c>
      <c r="C11" s="27">
        <f>SUM(C6:C10)</f>
        <v>1425909.6039999998</v>
      </c>
      <c r="D11" s="27">
        <f t="shared" ref="D11:AO11" si="2">SUM(D6:D8)</f>
        <v>2729682.87</v>
      </c>
      <c r="E11" s="27">
        <f t="shared" si="2"/>
        <v>5916954.3799999999</v>
      </c>
      <c r="F11" s="27">
        <f>SUM(F6:F10)</f>
        <v>1425909.6039999998</v>
      </c>
      <c r="G11" s="27">
        <f t="shared" si="2"/>
        <v>3596737.3899999997</v>
      </c>
      <c r="H11" s="27">
        <f t="shared" si="2"/>
        <v>5818008.8200000012</v>
      </c>
      <c r="I11" s="97">
        <f>SUM(I6:I10)</f>
        <v>1865200.5799999998</v>
      </c>
      <c r="J11" s="98">
        <f t="shared" si="2"/>
        <v>3682004.12</v>
      </c>
      <c r="K11" s="98">
        <f t="shared" si="2"/>
        <v>5818008.9600000018</v>
      </c>
      <c r="L11" s="98">
        <f>SUM(L6:L10)</f>
        <v>1766878.1099999999</v>
      </c>
      <c r="M11" s="98">
        <f t="shared" si="2"/>
        <v>3239386.02</v>
      </c>
      <c r="N11" s="98">
        <f t="shared" si="2"/>
        <v>5817903.5600000015</v>
      </c>
      <c r="O11" s="98">
        <f>SUM(O6:O10)</f>
        <v>2276853.46</v>
      </c>
      <c r="P11" s="98">
        <f t="shared" si="2"/>
        <v>3226748.01</v>
      </c>
      <c r="Q11" s="98">
        <f t="shared" si="2"/>
        <v>5817903.5600000015</v>
      </c>
      <c r="R11" s="98">
        <f>SUM(R6:R10)</f>
        <v>2420888.88</v>
      </c>
      <c r="S11" s="98">
        <f t="shared" si="2"/>
        <v>3298142.6599999997</v>
      </c>
      <c r="T11" s="98">
        <f t="shared" si="2"/>
        <v>0</v>
      </c>
      <c r="U11" s="98">
        <f>SUM(U6:U10)</f>
        <v>2558065.39</v>
      </c>
      <c r="V11" s="98">
        <f t="shared" si="2"/>
        <v>3284511.3899999997</v>
      </c>
      <c r="W11" s="98">
        <f t="shared" si="2"/>
        <v>0</v>
      </c>
      <c r="X11" s="98">
        <f>SUM(X6:X10)</f>
        <v>2521288.2799999998</v>
      </c>
      <c r="Y11" s="98">
        <f t="shared" si="2"/>
        <v>3269279.9099999997</v>
      </c>
      <c r="Z11" s="98">
        <f t="shared" si="2"/>
        <v>0</v>
      </c>
      <c r="AA11" s="98">
        <f>SUM(AA6:AA10)</f>
        <v>2909754.37</v>
      </c>
      <c r="AB11" s="99">
        <f t="shared" si="2"/>
        <v>3544312.82</v>
      </c>
      <c r="AC11" s="99">
        <f t="shared" si="2"/>
        <v>0</v>
      </c>
      <c r="AD11" s="99">
        <f>SUM(AD6:AD10)</f>
        <v>2923614.53</v>
      </c>
      <c r="AE11" s="100">
        <f t="shared" si="2"/>
        <v>4110473.4899999993</v>
      </c>
      <c r="AF11" s="100">
        <f t="shared" si="2"/>
        <v>0</v>
      </c>
      <c r="AG11" s="100">
        <f>SUM(AG6:AG10)</f>
        <v>3569727.08</v>
      </c>
      <c r="AH11" s="98">
        <f t="shared" si="2"/>
        <v>4072574.1299999994</v>
      </c>
      <c r="AI11" s="98">
        <f t="shared" si="2"/>
        <v>0</v>
      </c>
      <c r="AJ11" s="98">
        <f>SUM(AJ6:AJ10)</f>
        <v>3463018.24</v>
      </c>
      <c r="AK11" s="98">
        <f t="shared" si="2"/>
        <v>4250026.5599999996</v>
      </c>
      <c r="AL11" s="98">
        <f t="shared" si="2"/>
        <v>0</v>
      </c>
      <c r="AM11" s="23">
        <f>SUM(AM6:AM10)</f>
        <v>29127108.128000002</v>
      </c>
      <c r="AN11" s="23">
        <f t="shared" si="2"/>
        <v>42798093.270000003</v>
      </c>
      <c r="AO11" s="23">
        <f t="shared" si="2"/>
        <v>29188779.280000005</v>
      </c>
    </row>
    <row r="12" spans="1:41" s="24" customFormat="1" thickBot="1" x14ac:dyDescent="0.25">
      <c r="A12" s="25"/>
      <c r="B12" s="26" t="s">
        <v>8</v>
      </c>
      <c r="C12" s="27">
        <f>C11*0.8</f>
        <v>1140727.6831999999</v>
      </c>
      <c r="D12" s="27">
        <f t="shared" ref="D12:AO12" si="3">D11*0.75</f>
        <v>2047262.1525000001</v>
      </c>
      <c r="E12" s="27">
        <f t="shared" si="3"/>
        <v>4437715.7850000001</v>
      </c>
      <c r="F12" s="27">
        <f>F11*0.8</f>
        <v>1140727.6831999999</v>
      </c>
      <c r="G12" s="27">
        <f t="shared" si="3"/>
        <v>2697553.0424999995</v>
      </c>
      <c r="H12" s="27">
        <f t="shared" si="3"/>
        <v>4363506.6150000012</v>
      </c>
      <c r="I12" s="27">
        <f>I11*0.8</f>
        <v>1492160.4639999999</v>
      </c>
      <c r="J12" s="27">
        <f t="shared" si="3"/>
        <v>2761503.09</v>
      </c>
      <c r="K12" s="27">
        <f t="shared" si="3"/>
        <v>4363506.7200000016</v>
      </c>
      <c r="L12" s="27">
        <f>L11*0.8</f>
        <v>1413502.4879999999</v>
      </c>
      <c r="M12" s="27">
        <f t="shared" si="3"/>
        <v>2429539.5150000001</v>
      </c>
      <c r="N12" s="27">
        <f t="shared" si="3"/>
        <v>4363427.6700000009</v>
      </c>
      <c r="O12" s="27">
        <f>O11*0.8</f>
        <v>1821482.7680000002</v>
      </c>
      <c r="P12" s="27">
        <f t="shared" si="3"/>
        <v>2420061.0074999998</v>
      </c>
      <c r="Q12" s="27">
        <f t="shared" si="3"/>
        <v>4363427.6700000009</v>
      </c>
      <c r="R12" s="27">
        <f>R11*0.8</f>
        <v>1936711.1040000001</v>
      </c>
      <c r="S12" s="27">
        <f t="shared" si="3"/>
        <v>2473606.9949999996</v>
      </c>
      <c r="T12" s="27">
        <f t="shared" si="3"/>
        <v>0</v>
      </c>
      <c r="U12" s="27">
        <f>U11*0.8</f>
        <v>2046452.3120000002</v>
      </c>
      <c r="V12" s="27">
        <f t="shared" si="3"/>
        <v>2463383.5424999995</v>
      </c>
      <c r="W12" s="27">
        <f t="shared" si="3"/>
        <v>0</v>
      </c>
      <c r="X12" s="27">
        <f>X11*0.8</f>
        <v>2017030.6239999998</v>
      </c>
      <c r="Y12" s="27">
        <f t="shared" si="3"/>
        <v>2451959.9324999996</v>
      </c>
      <c r="Z12" s="27">
        <f t="shared" si="3"/>
        <v>0</v>
      </c>
      <c r="AA12" s="27">
        <f>AA11*0.8</f>
        <v>2327803.4960000003</v>
      </c>
      <c r="AB12" s="63">
        <f t="shared" si="3"/>
        <v>2658234.6149999998</v>
      </c>
      <c r="AC12" s="63">
        <f t="shared" si="3"/>
        <v>0</v>
      </c>
      <c r="AD12" s="63">
        <f>AD11*0.8</f>
        <v>2338891.6239999998</v>
      </c>
      <c r="AE12" s="55">
        <f t="shared" si="3"/>
        <v>3082855.1174999997</v>
      </c>
      <c r="AF12" s="55">
        <f t="shared" si="3"/>
        <v>0</v>
      </c>
      <c r="AG12" s="55">
        <f>AG11*0.8</f>
        <v>2855781.6640000003</v>
      </c>
      <c r="AH12" s="27">
        <f t="shared" si="3"/>
        <v>3054430.5974999997</v>
      </c>
      <c r="AI12" s="27">
        <f t="shared" si="3"/>
        <v>0</v>
      </c>
      <c r="AJ12" s="27">
        <f>AJ11*0.8</f>
        <v>2770414.5920000002</v>
      </c>
      <c r="AK12" s="27">
        <f t="shared" si="3"/>
        <v>3187519.92</v>
      </c>
      <c r="AL12" s="27">
        <f t="shared" si="3"/>
        <v>0</v>
      </c>
      <c r="AM12" s="27">
        <f>AM11*0.8</f>
        <v>23301686.502400003</v>
      </c>
      <c r="AN12" s="27">
        <f t="shared" si="3"/>
        <v>32098569.952500001</v>
      </c>
      <c r="AO12" s="27">
        <f t="shared" si="3"/>
        <v>21891584.460000005</v>
      </c>
    </row>
    <row r="17" spans="1:41" x14ac:dyDescent="0.25">
      <c r="A17" s="163" t="s">
        <v>48</v>
      </c>
      <c r="B17" s="164"/>
      <c r="C17" s="153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54"/>
      <c r="AM17" s="81"/>
      <c r="AN17" s="153"/>
      <c r="AO17" s="142"/>
    </row>
    <row r="18" spans="1:41" x14ac:dyDescent="0.25">
      <c r="A18" s="165"/>
      <c r="B18" s="166"/>
      <c r="C18" s="147" t="s">
        <v>9</v>
      </c>
      <c r="D18" s="169"/>
      <c r="E18" s="170"/>
      <c r="F18" s="157" t="s">
        <v>10</v>
      </c>
      <c r="G18" s="142"/>
      <c r="H18" s="154"/>
      <c r="I18" s="157" t="s">
        <v>14</v>
      </c>
      <c r="J18" s="142"/>
      <c r="K18" s="155"/>
      <c r="L18" s="147" t="s">
        <v>15</v>
      </c>
      <c r="M18" s="169" t="s">
        <v>15</v>
      </c>
      <c r="N18" s="170"/>
      <c r="O18" s="147" t="s">
        <v>16</v>
      </c>
      <c r="P18" s="169" t="s">
        <v>16</v>
      </c>
      <c r="Q18" s="170"/>
      <c r="R18" s="147" t="s">
        <v>17</v>
      </c>
      <c r="S18" s="169" t="s">
        <v>17</v>
      </c>
      <c r="T18" s="170"/>
      <c r="U18" s="147" t="s">
        <v>18</v>
      </c>
      <c r="V18" s="169" t="s">
        <v>18</v>
      </c>
      <c r="W18" s="170"/>
      <c r="X18" s="147" t="s">
        <v>19</v>
      </c>
      <c r="Y18" s="169" t="s">
        <v>19</v>
      </c>
      <c r="Z18" s="170"/>
      <c r="AA18" s="147" t="s">
        <v>20</v>
      </c>
      <c r="AB18" s="169" t="s">
        <v>20</v>
      </c>
      <c r="AC18" s="170"/>
      <c r="AD18" s="147" t="s">
        <v>21</v>
      </c>
      <c r="AE18" s="169" t="s">
        <v>21</v>
      </c>
      <c r="AF18" s="170"/>
      <c r="AG18" s="147" t="s">
        <v>22</v>
      </c>
      <c r="AH18" s="169" t="s">
        <v>22</v>
      </c>
      <c r="AI18" s="170"/>
      <c r="AJ18" s="147" t="s">
        <v>23</v>
      </c>
      <c r="AK18" s="169" t="s">
        <v>23</v>
      </c>
      <c r="AL18" s="170"/>
      <c r="AM18" s="159" t="s">
        <v>25</v>
      </c>
      <c r="AN18" s="142"/>
      <c r="AO18" s="154"/>
    </row>
    <row r="19" spans="1:41" ht="32.25" customHeight="1" thickBot="1" x14ac:dyDescent="0.3">
      <c r="A19" s="167"/>
      <c r="B19" s="168"/>
      <c r="C19" s="88">
        <v>2024</v>
      </c>
      <c r="D19" s="5">
        <v>2025</v>
      </c>
      <c r="E19" s="1">
        <v>2026</v>
      </c>
      <c r="F19" s="88">
        <v>2024</v>
      </c>
      <c r="G19" s="5">
        <v>2025</v>
      </c>
      <c r="H19" s="1">
        <v>2026</v>
      </c>
      <c r="I19" s="88">
        <v>2024</v>
      </c>
      <c r="J19" s="5">
        <v>2025</v>
      </c>
      <c r="K19" s="1">
        <v>2026</v>
      </c>
      <c r="L19" s="28"/>
      <c r="M19" s="5">
        <v>2025</v>
      </c>
      <c r="N19" s="1">
        <v>2026</v>
      </c>
      <c r="O19" s="28"/>
      <c r="P19" s="5">
        <v>2025</v>
      </c>
      <c r="Q19" s="1">
        <v>2026</v>
      </c>
      <c r="R19" s="28"/>
      <c r="S19" s="5">
        <v>2025</v>
      </c>
      <c r="T19" s="1">
        <v>2026</v>
      </c>
      <c r="U19" s="28"/>
      <c r="V19" s="5">
        <v>2025</v>
      </c>
      <c r="W19" s="1">
        <v>2026</v>
      </c>
      <c r="X19" s="28"/>
      <c r="Y19" s="5">
        <v>2025</v>
      </c>
      <c r="Z19" s="1">
        <v>2026</v>
      </c>
      <c r="AA19" s="28"/>
      <c r="AB19" s="5">
        <v>2025</v>
      </c>
      <c r="AC19" s="1">
        <v>2026</v>
      </c>
      <c r="AD19" s="28"/>
      <c r="AE19" s="5">
        <v>2025</v>
      </c>
      <c r="AF19" s="1">
        <v>2026</v>
      </c>
      <c r="AG19" s="28"/>
      <c r="AH19" s="5">
        <v>2025</v>
      </c>
      <c r="AI19" s="1">
        <v>2026</v>
      </c>
      <c r="AJ19" s="28"/>
      <c r="AK19" s="5">
        <v>2025</v>
      </c>
      <c r="AL19" s="1">
        <v>2026</v>
      </c>
      <c r="AM19" s="28">
        <v>2024</v>
      </c>
      <c r="AN19" s="5">
        <v>2025</v>
      </c>
      <c r="AO19" s="1">
        <v>2026</v>
      </c>
    </row>
    <row r="20" spans="1:41" ht="15.75" thickBot="1" x14ac:dyDescent="0.3">
      <c r="A20" s="161" t="s">
        <v>49</v>
      </c>
      <c r="B20" s="21" t="s">
        <v>7</v>
      </c>
      <c r="C20" s="22">
        <f>C11</f>
        <v>1425909.6039999998</v>
      </c>
      <c r="D20" s="22">
        <f>D11</f>
        <v>2729682.87</v>
      </c>
      <c r="E20" s="22">
        <f>E11+60920.15</f>
        <v>5977874.5300000003</v>
      </c>
      <c r="F20" s="79">
        <f>F11</f>
        <v>1425909.6039999998</v>
      </c>
      <c r="G20" s="79">
        <f>G11</f>
        <v>3596737.3899999997</v>
      </c>
      <c r="H20" s="22">
        <f>H11+60281.03</f>
        <v>5878289.8500000015</v>
      </c>
      <c r="I20" s="79">
        <f>I11</f>
        <v>1865200.5799999998</v>
      </c>
      <c r="J20" s="79">
        <f>J11</f>
        <v>3682004.12</v>
      </c>
      <c r="K20" s="22">
        <f>K11+63204.66</f>
        <v>5881213.620000002</v>
      </c>
      <c r="L20" s="79">
        <f>L11</f>
        <v>1766878.1099999999</v>
      </c>
      <c r="M20" s="79">
        <f>M11</f>
        <v>3239386.02</v>
      </c>
      <c r="N20" s="22">
        <f>N11+60612.38</f>
        <v>5878515.9400000013</v>
      </c>
      <c r="O20" s="79">
        <f>O11</f>
        <v>2276853.46</v>
      </c>
      <c r="P20" s="79">
        <f>P11</f>
        <v>3226748.01</v>
      </c>
      <c r="Q20" s="121">
        <f>Q11</f>
        <v>5817903.5600000015</v>
      </c>
      <c r="R20" s="79">
        <f>R11</f>
        <v>2420888.88</v>
      </c>
      <c r="S20" s="80">
        <f>S11</f>
        <v>3298142.6599999997</v>
      </c>
      <c r="T20" s="22"/>
      <c r="U20" s="79">
        <f>U11</f>
        <v>2558065.39</v>
      </c>
      <c r="V20" s="80">
        <f>V11</f>
        <v>3284511.3899999997</v>
      </c>
      <c r="W20" s="22"/>
      <c r="X20" s="79">
        <f>X11</f>
        <v>2521288.2799999998</v>
      </c>
      <c r="Y20" s="79">
        <f>Y11</f>
        <v>3269279.9099999997</v>
      </c>
      <c r="Z20" s="22"/>
      <c r="AA20" s="79">
        <f>AA11</f>
        <v>2909754.37</v>
      </c>
      <c r="AB20" s="80">
        <f>AB11</f>
        <v>3544312.82</v>
      </c>
      <c r="AC20" s="22"/>
      <c r="AD20" s="79">
        <f>AD11</f>
        <v>2923614.53</v>
      </c>
      <c r="AE20" s="79">
        <f>AE11</f>
        <v>4110473.4899999993</v>
      </c>
      <c r="AF20" s="22"/>
      <c r="AG20" s="79">
        <f>AG11</f>
        <v>3569727.08</v>
      </c>
      <c r="AH20" s="79">
        <f>AH11</f>
        <v>4072574.1299999994</v>
      </c>
      <c r="AI20" s="22"/>
      <c r="AJ20" s="79">
        <f>AJ11</f>
        <v>3463018.24</v>
      </c>
      <c r="AK20" s="79">
        <f>AK11</f>
        <v>4250026.5599999996</v>
      </c>
      <c r="AL20" s="22"/>
      <c r="AM20" s="79">
        <f>AM11</f>
        <v>29127108.128000002</v>
      </c>
      <c r="AN20" s="23">
        <f>AN11</f>
        <v>42798093.270000003</v>
      </c>
      <c r="AO20" s="22">
        <f>E20+H20+K20</f>
        <v>17737378.000000004</v>
      </c>
    </row>
    <row r="21" spans="1:41" s="24" customFormat="1" thickBot="1" x14ac:dyDescent="0.25">
      <c r="A21" s="162"/>
      <c r="B21" s="32" t="s">
        <v>8</v>
      </c>
      <c r="C21" s="22">
        <f>C20*0.8</f>
        <v>1140727.6831999999</v>
      </c>
      <c r="D21" s="27">
        <f t="shared" ref="D21" si="4">D20*0.75</f>
        <v>2047262.1525000001</v>
      </c>
      <c r="E21" s="22">
        <f>E20*0.75</f>
        <v>4483405.8975</v>
      </c>
      <c r="F21" s="27">
        <f>F20*0.8</f>
        <v>1140727.6831999999</v>
      </c>
      <c r="G21" s="27">
        <f t="shared" ref="G21" si="5">G20*0.75</f>
        <v>2697553.0424999995</v>
      </c>
      <c r="H21" s="27">
        <f>H20*0.75</f>
        <v>4408717.3875000011</v>
      </c>
      <c r="I21" s="27">
        <f>I20*0.8</f>
        <v>1492160.4639999999</v>
      </c>
      <c r="J21" s="27">
        <f t="shared" ref="J21" si="6">J20*0.75</f>
        <v>2761503.09</v>
      </c>
      <c r="K21" s="27">
        <f>K20*0.75</f>
        <v>4410910.2150000017</v>
      </c>
      <c r="L21" s="27">
        <f>L20*0.8</f>
        <v>1413502.4879999999</v>
      </c>
      <c r="M21" s="27">
        <f t="shared" ref="M21" si="7">M20*0.75</f>
        <v>2429539.5150000001</v>
      </c>
      <c r="N21" s="27">
        <f>N20*0.75</f>
        <v>4408886.955000001</v>
      </c>
      <c r="O21" s="27">
        <f>O20*0.8</f>
        <v>1821482.7680000002</v>
      </c>
      <c r="P21" s="27">
        <f t="shared" ref="P21:Q21" si="8">P20*0.75</f>
        <v>2420061.0074999998</v>
      </c>
      <c r="Q21" s="122">
        <f t="shared" si="8"/>
        <v>4363427.6700000009</v>
      </c>
      <c r="R21" s="27">
        <f>R20*0.8</f>
        <v>1936711.1040000001</v>
      </c>
      <c r="S21" s="55">
        <f t="shared" ref="S21" si="9">S20*0.75</f>
        <v>2473606.9949999996</v>
      </c>
      <c r="T21" s="27">
        <f>T20*0.75</f>
        <v>0</v>
      </c>
      <c r="U21" s="27">
        <f>U20*0.8</f>
        <v>2046452.3120000002</v>
      </c>
      <c r="V21" s="55">
        <f t="shared" ref="V21" si="10">V20*0.75</f>
        <v>2463383.5424999995</v>
      </c>
      <c r="W21" s="27">
        <f>W20*0.75</f>
        <v>0</v>
      </c>
      <c r="X21" s="27">
        <f>X20*0.8</f>
        <v>2017030.6239999998</v>
      </c>
      <c r="Y21" s="27">
        <f t="shared" ref="Y21" si="11">Y20*0.75</f>
        <v>2451959.9324999996</v>
      </c>
      <c r="Z21" s="27">
        <f>Z20*0.75</f>
        <v>0</v>
      </c>
      <c r="AA21" s="27">
        <f>AA20*0.8</f>
        <v>2327803.4960000003</v>
      </c>
      <c r="AB21" s="55">
        <f t="shared" ref="AB21" si="12">AB20*0.75</f>
        <v>2658234.6149999998</v>
      </c>
      <c r="AC21" s="27">
        <f>AC20*0.75</f>
        <v>0</v>
      </c>
      <c r="AD21" s="27">
        <f>AD20*0.8</f>
        <v>2338891.6239999998</v>
      </c>
      <c r="AE21" s="27">
        <f t="shared" ref="AE21" si="13">AE20*0.75</f>
        <v>3082855.1174999997</v>
      </c>
      <c r="AF21" s="27">
        <f>AF20*0.75</f>
        <v>0</v>
      </c>
      <c r="AG21" s="27">
        <f>AG20*0.8</f>
        <v>2855781.6640000003</v>
      </c>
      <c r="AH21" s="27">
        <f t="shared" ref="AH21" si="14">AH20*0.75</f>
        <v>3054430.5974999997</v>
      </c>
      <c r="AI21" s="27">
        <f>AI20*0.75</f>
        <v>0</v>
      </c>
      <c r="AJ21" s="27">
        <f>AJ20*0.8</f>
        <v>2770414.5920000002</v>
      </c>
      <c r="AK21" s="27">
        <f t="shared" ref="AK21" si="15">AK20*0.75</f>
        <v>3187519.92</v>
      </c>
      <c r="AL21" s="27">
        <f>AL20*0.75</f>
        <v>0</v>
      </c>
      <c r="AM21" s="27">
        <f>AM20*0.8</f>
        <v>23301686.502400003</v>
      </c>
      <c r="AN21" s="27">
        <f>AN20*0.75</f>
        <v>32098569.952500001</v>
      </c>
      <c r="AO21" s="27">
        <f>AO20*0.75</f>
        <v>13303033.500000004</v>
      </c>
    </row>
    <row r="23" spans="1:41" x14ac:dyDescent="0.25">
      <c r="Q23" s="123" t="s">
        <v>59</v>
      </c>
    </row>
    <row r="25" spans="1:41" x14ac:dyDescent="0.25">
      <c r="J25" s="160"/>
      <c r="K25" s="160"/>
      <c r="L25" s="95"/>
    </row>
  </sheetData>
  <mergeCells count="35">
    <mergeCell ref="L18:N18"/>
    <mergeCell ref="O18:Q18"/>
    <mergeCell ref="R18:T18"/>
    <mergeCell ref="U18:W18"/>
    <mergeCell ref="X18:Z18"/>
    <mergeCell ref="A2:A5"/>
    <mergeCell ref="B2:B5"/>
    <mergeCell ref="AM3:AO3"/>
    <mergeCell ref="AM18:AO18"/>
    <mergeCell ref="J25:K25"/>
    <mergeCell ref="A20:A21"/>
    <mergeCell ref="A17:B19"/>
    <mergeCell ref="C17:AL17"/>
    <mergeCell ref="AN17:AO17"/>
    <mergeCell ref="C18:E18"/>
    <mergeCell ref="F18:H18"/>
    <mergeCell ref="I18:K18"/>
    <mergeCell ref="AA18:AC18"/>
    <mergeCell ref="AD18:AF18"/>
    <mergeCell ref="AG18:AI18"/>
    <mergeCell ref="AJ18:AL18"/>
    <mergeCell ref="D1:AO1"/>
    <mergeCell ref="C2:AL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  <pageSetUpPr fitToPage="1"/>
  </sheetPr>
  <dimension ref="A1:AO4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Q4" sqref="Q1:Q1048576"/>
    </sheetView>
  </sheetViews>
  <sheetFormatPr defaultColWidth="9.140625" defaultRowHeight="15" x14ac:dyDescent="0.25"/>
  <cols>
    <col min="1" max="1" width="16" style="3" customWidth="1"/>
    <col min="2" max="2" width="13" style="3" customWidth="1"/>
    <col min="3" max="3" width="17.5703125" style="3" bestFit="1" customWidth="1"/>
    <col min="4" max="4" width="18" style="3" customWidth="1"/>
    <col min="5" max="6" width="19.140625" style="3" customWidth="1"/>
    <col min="7" max="7" width="18.42578125" style="3" customWidth="1"/>
    <col min="8" max="9" width="18.5703125" style="3" customWidth="1"/>
    <col min="10" max="10" width="18.140625" style="3" customWidth="1"/>
    <col min="11" max="12" width="18.28515625" style="3" customWidth="1"/>
    <col min="13" max="13" width="18" style="3" customWidth="1"/>
    <col min="14" max="14" width="17.5703125" style="3" bestFit="1" customWidth="1"/>
    <col min="15" max="15" width="17.5703125" style="3" customWidth="1"/>
    <col min="16" max="18" width="19.42578125" style="43" customWidth="1"/>
    <col min="19" max="19" width="19.42578125" style="3" customWidth="1"/>
    <col min="20" max="21" width="19.42578125" style="44" customWidth="1"/>
    <col min="22" max="27" width="19.42578125" style="3" customWidth="1"/>
    <col min="28" max="30" width="19.42578125" style="64" customWidth="1"/>
    <col min="31" max="33" width="19.42578125" style="44" customWidth="1"/>
    <col min="34" max="37" width="19.42578125" style="3" customWidth="1"/>
    <col min="38" max="38" width="16.42578125" style="3" customWidth="1"/>
    <col min="39" max="39" width="20.7109375" style="3" customWidth="1"/>
    <col min="40" max="40" width="22.7109375" style="3" customWidth="1"/>
    <col min="41" max="41" width="22.42578125" style="3" customWidth="1"/>
    <col min="42" max="16384" width="9.140625" style="3"/>
  </cols>
  <sheetData>
    <row r="1" spans="1:41" x14ac:dyDescent="0.25">
      <c r="A1" s="1"/>
      <c r="B1" s="2"/>
      <c r="C1" s="83"/>
      <c r="D1" s="149" t="s">
        <v>29</v>
      </c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1"/>
      <c r="AO1" s="152"/>
    </row>
    <row r="2" spans="1:41" x14ac:dyDescent="0.25">
      <c r="A2" s="143" t="s">
        <v>2</v>
      </c>
      <c r="B2" s="144" t="s">
        <v>38</v>
      </c>
      <c r="C2" s="105"/>
      <c r="D2" s="156" t="s">
        <v>4</v>
      </c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73"/>
    </row>
    <row r="3" spans="1:41" x14ac:dyDescent="0.25">
      <c r="A3" s="143"/>
      <c r="B3" s="145"/>
      <c r="C3" s="174" t="s">
        <v>24</v>
      </c>
      <c r="D3" s="175"/>
      <c r="E3" s="176"/>
      <c r="F3" s="174" t="s">
        <v>10</v>
      </c>
      <c r="G3" s="175" t="s">
        <v>10</v>
      </c>
      <c r="H3" s="176"/>
      <c r="I3" s="174" t="s">
        <v>14</v>
      </c>
      <c r="J3" s="175" t="s">
        <v>14</v>
      </c>
      <c r="K3" s="176"/>
      <c r="L3" s="174" t="s">
        <v>15</v>
      </c>
      <c r="M3" s="175" t="s">
        <v>15</v>
      </c>
      <c r="N3" s="176"/>
      <c r="O3" s="174" t="s">
        <v>16</v>
      </c>
      <c r="P3" s="175" t="s">
        <v>16</v>
      </c>
      <c r="Q3" s="176"/>
      <c r="R3" s="174" t="s">
        <v>17</v>
      </c>
      <c r="S3" s="175" t="s">
        <v>17</v>
      </c>
      <c r="T3" s="176"/>
      <c r="U3" s="174" t="s">
        <v>18</v>
      </c>
      <c r="V3" s="175" t="s">
        <v>18</v>
      </c>
      <c r="W3" s="176"/>
      <c r="X3" s="174" t="s">
        <v>19</v>
      </c>
      <c r="Y3" s="175" t="s">
        <v>19</v>
      </c>
      <c r="Z3" s="176"/>
      <c r="AA3" s="174" t="s">
        <v>20</v>
      </c>
      <c r="AB3" s="175" t="s">
        <v>20</v>
      </c>
      <c r="AC3" s="176"/>
      <c r="AD3" s="174" t="s">
        <v>21</v>
      </c>
      <c r="AE3" s="175" t="s">
        <v>21</v>
      </c>
      <c r="AF3" s="176"/>
      <c r="AG3" s="174" t="s">
        <v>22</v>
      </c>
      <c r="AH3" s="175" t="s">
        <v>22</v>
      </c>
      <c r="AI3" s="176"/>
      <c r="AJ3" s="174" t="s">
        <v>23</v>
      </c>
      <c r="AK3" s="175" t="s">
        <v>23</v>
      </c>
      <c r="AL3" s="176"/>
      <c r="AM3" s="159" t="s">
        <v>25</v>
      </c>
      <c r="AN3" s="142"/>
      <c r="AO3" s="154"/>
    </row>
    <row r="4" spans="1:41" x14ac:dyDescent="0.25">
      <c r="A4" s="143"/>
      <c r="B4" s="171"/>
      <c r="C4" s="1">
        <v>2024</v>
      </c>
      <c r="D4" s="1">
        <v>2025</v>
      </c>
      <c r="E4" s="1">
        <v>2026</v>
      </c>
      <c r="F4" s="1">
        <v>2024</v>
      </c>
      <c r="G4" s="1">
        <v>2025</v>
      </c>
      <c r="H4" s="1">
        <v>2026</v>
      </c>
      <c r="I4" s="1">
        <v>2024</v>
      </c>
      <c r="J4" s="1">
        <v>2025</v>
      </c>
      <c r="K4" s="1">
        <v>2026</v>
      </c>
      <c r="L4" s="1">
        <v>2024</v>
      </c>
      <c r="M4" s="1">
        <v>2025</v>
      </c>
      <c r="N4" s="1">
        <v>2026</v>
      </c>
      <c r="O4" s="1">
        <v>2024</v>
      </c>
      <c r="P4" s="1">
        <v>2025</v>
      </c>
      <c r="Q4" s="1">
        <v>2026</v>
      </c>
      <c r="R4" s="1">
        <v>2024</v>
      </c>
      <c r="S4" s="1">
        <v>2025</v>
      </c>
      <c r="T4" s="1">
        <v>2026</v>
      </c>
      <c r="U4" s="1">
        <v>2024</v>
      </c>
      <c r="V4" s="1">
        <v>2025</v>
      </c>
      <c r="W4" s="1">
        <v>2026</v>
      </c>
      <c r="X4" s="1">
        <v>2024</v>
      </c>
      <c r="Y4" s="1">
        <v>2025</v>
      </c>
      <c r="Z4" s="1">
        <v>2026</v>
      </c>
      <c r="AA4" s="1">
        <v>2024</v>
      </c>
      <c r="AB4" s="1">
        <v>2025</v>
      </c>
      <c r="AC4" s="1">
        <v>2026</v>
      </c>
      <c r="AD4" s="1">
        <v>2024</v>
      </c>
      <c r="AE4" s="1">
        <v>2025</v>
      </c>
      <c r="AF4" s="1">
        <v>2026</v>
      </c>
      <c r="AG4" s="1">
        <v>2024</v>
      </c>
      <c r="AH4" s="1">
        <v>2025</v>
      </c>
      <c r="AI4" s="1">
        <v>2026</v>
      </c>
      <c r="AJ4" s="1">
        <v>2024</v>
      </c>
      <c r="AK4" s="1">
        <v>2025</v>
      </c>
      <c r="AL4" s="1">
        <v>2026</v>
      </c>
      <c r="AM4" s="1">
        <v>2024</v>
      </c>
      <c r="AN4" s="1">
        <v>2025</v>
      </c>
      <c r="AO4" s="1">
        <v>2026</v>
      </c>
    </row>
    <row r="5" spans="1:41" x14ac:dyDescent="0.25">
      <c r="A5" s="143"/>
      <c r="B5" s="172"/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48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  <c r="Z5" s="1" t="s">
        <v>26</v>
      </c>
      <c r="AA5" s="1" t="s">
        <v>26</v>
      </c>
      <c r="AB5" s="62" t="s">
        <v>26</v>
      </c>
      <c r="AC5" s="62" t="s">
        <v>26</v>
      </c>
      <c r="AD5" s="1" t="s">
        <v>26</v>
      </c>
      <c r="AE5" s="48" t="s">
        <v>26</v>
      </c>
      <c r="AF5" s="48" t="s">
        <v>26</v>
      </c>
      <c r="AG5" s="1" t="s">
        <v>26</v>
      </c>
      <c r="AH5" s="1" t="s">
        <v>26</v>
      </c>
      <c r="AI5" s="1" t="s">
        <v>26</v>
      </c>
      <c r="AJ5" s="1" t="s">
        <v>26</v>
      </c>
      <c r="AK5" s="1" t="s">
        <v>26</v>
      </c>
      <c r="AL5" s="1" t="s">
        <v>26</v>
      </c>
      <c r="AM5" s="1" t="s">
        <v>26</v>
      </c>
      <c r="AN5" s="1" t="s">
        <v>26</v>
      </c>
      <c r="AO5" s="1" t="s">
        <v>26</v>
      </c>
    </row>
    <row r="6" spans="1:41" x14ac:dyDescent="0.25">
      <c r="A6" s="29"/>
      <c r="B6" s="1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8"/>
      <c r="R6" s="10"/>
      <c r="S6" s="10"/>
      <c r="T6" s="50"/>
      <c r="U6" s="50"/>
      <c r="V6" s="50"/>
      <c r="W6" s="50"/>
      <c r="X6" s="50"/>
      <c r="Y6" s="10"/>
      <c r="Z6" s="10"/>
      <c r="AA6" s="10"/>
      <c r="AB6" s="110"/>
      <c r="AC6" s="110"/>
      <c r="AD6" s="110"/>
      <c r="AE6" s="50"/>
      <c r="AF6" s="50"/>
      <c r="AG6" s="50"/>
      <c r="AH6" s="10"/>
      <c r="AI6" s="10"/>
      <c r="AJ6" s="10"/>
      <c r="AK6" s="10"/>
      <c r="AL6" s="10"/>
      <c r="AM6" s="10"/>
      <c r="AN6" s="10"/>
      <c r="AO6" s="10">
        <f>E6+H6+K6+N6+Q6+T6+W6+Z6+AC6+AF6+AI6+AL6</f>
        <v>0</v>
      </c>
    </row>
    <row r="7" spans="1:41" x14ac:dyDescent="0.25">
      <c r="A7" s="8" t="s">
        <v>27</v>
      </c>
      <c r="B7" s="1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8"/>
      <c r="R7" s="10"/>
      <c r="S7" s="10"/>
      <c r="T7" s="50"/>
      <c r="U7" s="50"/>
      <c r="V7" s="50"/>
      <c r="W7" s="50"/>
      <c r="X7" s="50"/>
      <c r="Y7" s="50"/>
      <c r="Z7" s="50"/>
      <c r="AA7" s="50"/>
      <c r="AB7" s="110"/>
      <c r="AC7" s="110"/>
      <c r="AD7" s="110"/>
      <c r="AE7" s="50"/>
      <c r="AF7" s="50"/>
      <c r="AG7" s="50"/>
      <c r="AH7" s="50"/>
      <c r="AI7" s="50"/>
      <c r="AJ7" s="50"/>
      <c r="AK7" s="10"/>
      <c r="AL7" s="10"/>
      <c r="AM7" s="10"/>
      <c r="AN7" s="10"/>
      <c r="AO7" s="10">
        <f t="shared" ref="AO7" si="0">E7+H7+K7+N7+Q7+T7+W7+Z7+AC7+AF7+AI7+AL7</f>
        <v>0</v>
      </c>
    </row>
    <row r="8" spans="1:41" x14ac:dyDescent="0.25">
      <c r="A8" s="8"/>
      <c r="B8" s="115">
        <v>31</v>
      </c>
      <c r="C8" s="10">
        <v>53500</v>
      </c>
      <c r="D8" s="10"/>
      <c r="E8" s="10"/>
      <c r="F8" s="10">
        <v>53500</v>
      </c>
      <c r="G8" s="10"/>
      <c r="H8" s="10"/>
      <c r="I8" s="10">
        <v>53500</v>
      </c>
      <c r="J8" s="10"/>
      <c r="K8" s="10"/>
      <c r="L8" s="10">
        <v>53500</v>
      </c>
      <c r="M8" s="10"/>
      <c r="N8" s="10"/>
      <c r="O8" s="10">
        <v>53500</v>
      </c>
      <c r="P8" s="10"/>
      <c r="Q8" s="118"/>
      <c r="R8" s="10">
        <v>53500</v>
      </c>
      <c r="S8" s="10"/>
      <c r="T8" s="50"/>
      <c r="U8" s="10">
        <v>53500</v>
      </c>
      <c r="V8" s="50"/>
      <c r="W8" s="50"/>
      <c r="X8" s="10">
        <v>53500</v>
      </c>
      <c r="Y8" s="50"/>
      <c r="Z8" s="50"/>
      <c r="AA8" s="10">
        <v>53500</v>
      </c>
      <c r="AB8" s="110"/>
      <c r="AC8" s="110"/>
      <c r="AD8" s="10">
        <v>53500</v>
      </c>
      <c r="AE8" s="50"/>
      <c r="AF8" s="50"/>
      <c r="AG8" s="10">
        <v>53500</v>
      </c>
      <c r="AH8" s="50"/>
      <c r="AI8" s="50"/>
      <c r="AJ8" s="10">
        <v>53500</v>
      </c>
      <c r="AK8" s="10"/>
      <c r="AL8" s="10"/>
      <c r="AM8" s="10">
        <f>C8+F8+I8+L8+O8+R8+U8+X8+AA8+AD8+AG8+AJ8</f>
        <v>642000</v>
      </c>
      <c r="AN8" s="10"/>
      <c r="AO8" s="10"/>
    </row>
    <row r="9" spans="1:41" x14ac:dyDescent="0.25">
      <c r="A9" s="8"/>
      <c r="B9" s="115">
        <v>32</v>
      </c>
      <c r="C9" s="10">
        <v>19009510</v>
      </c>
      <c r="D9" s="10"/>
      <c r="E9" s="10"/>
      <c r="F9" s="10">
        <v>19009510</v>
      </c>
      <c r="G9" s="10"/>
      <c r="H9" s="10"/>
      <c r="I9" s="10">
        <v>19009510</v>
      </c>
      <c r="J9" s="10"/>
      <c r="K9" s="10"/>
      <c r="L9" s="10">
        <v>19161044.440000001</v>
      </c>
      <c r="M9" s="10"/>
      <c r="N9" s="10"/>
      <c r="O9" s="10">
        <v>19161044.440000001</v>
      </c>
      <c r="P9" s="10"/>
      <c r="Q9" s="118"/>
      <c r="R9" s="10">
        <v>19161044.440000001</v>
      </c>
      <c r="S9" s="10"/>
      <c r="T9" s="50"/>
      <c r="U9" s="10">
        <v>18581144.440000001</v>
      </c>
      <c r="V9" s="50"/>
      <c r="W9" s="50"/>
      <c r="X9" s="10">
        <v>18581144.440000001</v>
      </c>
      <c r="Y9" s="50"/>
      <c r="Z9" s="50"/>
      <c r="AA9" s="10">
        <v>18581144.440000001</v>
      </c>
      <c r="AB9" s="110"/>
      <c r="AC9" s="110"/>
      <c r="AD9" s="10">
        <v>18581144.440000001</v>
      </c>
      <c r="AE9" s="50"/>
      <c r="AF9" s="50"/>
      <c r="AG9" s="10">
        <v>18581144.440000001</v>
      </c>
      <c r="AH9" s="50"/>
      <c r="AI9" s="50"/>
      <c r="AJ9" s="10">
        <v>18581144.440000001</v>
      </c>
      <c r="AK9" s="10"/>
      <c r="AL9" s="10"/>
      <c r="AM9" s="10">
        <f t="shared" ref="AM9:AM18" si="1">C9+F9+I9+L9+O9+R9+U9+X9+AA9+AD9+AG9+AJ9</f>
        <v>225998529.95999998</v>
      </c>
      <c r="AN9" s="10"/>
      <c r="AO9" s="10"/>
    </row>
    <row r="10" spans="1:41" x14ac:dyDescent="0.25">
      <c r="A10" s="8"/>
      <c r="B10" s="115">
        <v>33</v>
      </c>
      <c r="C10" s="10">
        <v>33085768.210000001</v>
      </c>
      <c r="D10" s="10"/>
      <c r="E10" s="10"/>
      <c r="F10" s="10">
        <v>33085768.210000001</v>
      </c>
      <c r="G10" s="10"/>
      <c r="H10" s="10"/>
      <c r="I10" s="10">
        <v>33085768.210000001</v>
      </c>
      <c r="J10" s="10"/>
      <c r="K10" s="10"/>
      <c r="L10" s="10">
        <v>32878000.129999999</v>
      </c>
      <c r="M10" s="10"/>
      <c r="N10" s="10"/>
      <c r="O10" s="10">
        <v>32362456.239999998</v>
      </c>
      <c r="P10" s="10"/>
      <c r="Q10" s="118"/>
      <c r="R10" s="10">
        <v>34150016.399999999</v>
      </c>
      <c r="S10" s="10"/>
      <c r="T10" s="50"/>
      <c r="U10" s="10">
        <v>35611804.310000002</v>
      </c>
      <c r="V10" s="50"/>
      <c r="W10" s="50"/>
      <c r="X10" s="10">
        <v>35698901.079999998</v>
      </c>
      <c r="Y10" s="50"/>
      <c r="Z10" s="50"/>
      <c r="AA10" s="10">
        <v>35761804.310000002</v>
      </c>
      <c r="AB10" s="110"/>
      <c r="AC10" s="110"/>
      <c r="AD10" s="10">
        <v>35023937.32</v>
      </c>
      <c r="AE10" s="50"/>
      <c r="AF10" s="50"/>
      <c r="AG10" s="10">
        <v>36264694.310000002</v>
      </c>
      <c r="AH10" s="50"/>
      <c r="AI10" s="50"/>
      <c r="AJ10" s="10">
        <v>36821311.439999998</v>
      </c>
      <c r="AK10" s="10"/>
      <c r="AL10" s="10"/>
      <c r="AM10" s="10">
        <f t="shared" si="1"/>
        <v>413830230.17000002</v>
      </c>
      <c r="AN10" s="10"/>
      <c r="AO10" s="10"/>
    </row>
    <row r="11" spans="1:41" x14ac:dyDescent="0.25">
      <c r="A11" s="8"/>
      <c r="B11" s="70" t="s">
        <v>41</v>
      </c>
      <c r="C11" s="10"/>
      <c r="D11" s="10">
        <v>1445000</v>
      </c>
      <c r="E11" s="10">
        <v>888319.67</v>
      </c>
      <c r="F11" s="10"/>
      <c r="G11" s="10">
        <v>1445000</v>
      </c>
      <c r="H11" s="10">
        <v>888319.67</v>
      </c>
      <c r="I11" s="10"/>
      <c r="J11" s="10">
        <v>1445000</v>
      </c>
      <c r="K11" s="10">
        <v>888319.67</v>
      </c>
      <c r="L11" s="10"/>
      <c r="M11" s="10">
        <v>1445000</v>
      </c>
      <c r="N11" s="50">
        <v>888319.67</v>
      </c>
      <c r="O11" s="1"/>
      <c r="P11" s="10">
        <v>1445000</v>
      </c>
      <c r="Q11" s="119">
        <v>888319.67</v>
      </c>
      <c r="R11" s="48"/>
      <c r="S11" s="50">
        <v>1445000</v>
      </c>
      <c r="T11" s="48"/>
      <c r="U11" s="48"/>
      <c r="V11" s="50">
        <v>1445000</v>
      </c>
      <c r="W11" s="48"/>
      <c r="X11" s="48"/>
      <c r="Y11" s="50">
        <v>1445000</v>
      </c>
      <c r="Z11" s="48"/>
      <c r="AA11" s="48"/>
      <c r="AB11" s="111">
        <v>1445000</v>
      </c>
      <c r="AC11" s="101"/>
      <c r="AD11" s="101"/>
      <c r="AE11" s="50">
        <v>903125</v>
      </c>
      <c r="AF11" s="50"/>
      <c r="AG11" s="50"/>
      <c r="AH11" s="50">
        <v>903125</v>
      </c>
      <c r="AI11" s="50"/>
      <c r="AJ11" s="50"/>
      <c r="AK11" s="50">
        <v>903125</v>
      </c>
      <c r="AL11" s="50"/>
      <c r="AM11" s="10"/>
      <c r="AN11" s="50">
        <f>D11+G11+J11+M11+P11+S11+V11+Y11+AB11+AE11+AH11+AK11</f>
        <v>15714375</v>
      </c>
      <c r="AO11" s="50">
        <f>E11+H11+K11+N11+Q11+T11+W11+Z11+AC11+AF11+AI11+AL11</f>
        <v>4441598.3500000006</v>
      </c>
    </row>
    <row r="12" spans="1:41" x14ac:dyDescent="0.25">
      <c r="A12" s="8"/>
      <c r="B12" s="70">
        <v>109</v>
      </c>
      <c r="C12" s="10"/>
      <c r="D12" s="10"/>
      <c r="E12" s="10">
        <v>63114.75</v>
      </c>
      <c r="F12" s="10"/>
      <c r="G12" s="10">
        <v>102666.67</v>
      </c>
      <c r="H12" s="10">
        <v>63114.75</v>
      </c>
      <c r="I12" s="10"/>
      <c r="J12" s="10">
        <v>102666.67</v>
      </c>
      <c r="K12" s="10">
        <v>63114.75</v>
      </c>
      <c r="L12" s="10"/>
      <c r="M12" s="10">
        <v>102666.67</v>
      </c>
      <c r="N12" s="50">
        <v>63114.75</v>
      </c>
      <c r="O12" s="1"/>
      <c r="P12" s="10">
        <v>102666.67</v>
      </c>
      <c r="Q12" s="119">
        <v>63114.75</v>
      </c>
      <c r="R12" s="48"/>
      <c r="S12" s="50">
        <v>102666.67</v>
      </c>
      <c r="T12" s="48"/>
      <c r="U12" s="48"/>
      <c r="V12" s="50">
        <v>102666.67</v>
      </c>
      <c r="W12" s="48"/>
      <c r="X12" s="48"/>
      <c r="Y12" s="50">
        <v>102666.67</v>
      </c>
      <c r="Z12" s="48"/>
      <c r="AA12" s="48"/>
      <c r="AB12" s="111">
        <v>102666.67</v>
      </c>
      <c r="AC12" s="101"/>
      <c r="AD12" s="101"/>
      <c r="AE12" s="50">
        <v>64166.67</v>
      </c>
      <c r="AF12" s="48"/>
      <c r="AG12" s="48"/>
      <c r="AH12" s="50">
        <v>64166.67</v>
      </c>
      <c r="AI12" s="48"/>
      <c r="AJ12" s="48"/>
      <c r="AK12" s="50">
        <v>64166.67</v>
      </c>
      <c r="AL12" s="48"/>
      <c r="AM12" s="10"/>
      <c r="AN12" s="50">
        <f t="shared" ref="AN12:AN16" si="2">D12+G12+J12+M12+P12+S12+V12+Y12+AB12+AE12+AH12+AK12</f>
        <v>1013833.3700000002</v>
      </c>
      <c r="AO12" s="50">
        <f t="shared" ref="AO12:AO16" si="3">E12+H12+K12+N12+Q12+T12+W12+Z12+AC12+AF12+AI12+AL12</f>
        <v>315573.75</v>
      </c>
    </row>
    <row r="13" spans="1:41" x14ac:dyDescent="0.25">
      <c r="A13" s="8"/>
      <c r="B13" s="70">
        <v>110</v>
      </c>
      <c r="C13" s="10"/>
      <c r="D13" s="10"/>
      <c r="E13" s="10">
        <v>236516.39</v>
      </c>
      <c r="F13" s="10"/>
      <c r="G13" s="10">
        <v>384733.33</v>
      </c>
      <c r="H13" s="10">
        <v>236516.39</v>
      </c>
      <c r="I13" s="10"/>
      <c r="J13" s="10">
        <v>384733.33</v>
      </c>
      <c r="K13" s="10">
        <v>236516.39</v>
      </c>
      <c r="L13" s="10"/>
      <c r="M13" s="10">
        <v>384733.33</v>
      </c>
      <c r="N13" s="50">
        <v>236516.39</v>
      </c>
      <c r="O13" s="1"/>
      <c r="P13" s="10">
        <v>384733.33</v>
      </c>
      <c r="Q13" s="119">
        <v>236516.39</v>
      </c>
      <c r="R13" s="48"/>
      <c r="S13" s="50">
        <v>384733.33</v>
      </c>
      <c r="T13" s="48"/>
      <c r="U13" s="48"/>
      <c r="V13" s="50">
        <v>384733.33</v>
      </c>
      <c r="W13" s="48"/>
      <c r="X13" s="48"/>
      <c r="Y13" s="50">
        <v>384733.33</v>
      </c>
      <c r="Z13" s="48"/>
      <c r="AA13" s="48"/>
      <c r="AB13" s="111">
        <v>384733.33</v>
      </c>
      <c r="AC13" s="101"/>
      <c r="AD13" s="101"/>
      <c r="AE13" s="50">
        <v>240458.33</v>
      </c>
      <c r="AF13" s="48"/>
      <c r="AG13" s="48"/>
      <c r="AH13" s="50">
        <v>240458.33</v>
      </c>
      <c r="AI13" s="48"/>
      <c r="AJ13" s="48"/>
      <c r="AK13" s="50">
        <v>240458.33</v>
      </c>
      <c r="AL13" s="48"/>
      <c r="AM13" s="10"/>
      <c r="AN13" s="50">
        <f t="shared" si="2"/>
        <v>3799241.6300000004</v>
      </c>
      <c r="AO13" s="50">
        <f t="shared" si="3"/>
        <v>1182581.9500000002</v>
      </c>
    </row>
    <row r="14" spans="1:41" x14ac:dyDescent="0.25">
      <c r="A14" s="8"/>
      <c r="B14" s="70" t="s">
        <v>40</v>
      </c>
      <c r="C14" s="110"/>
      <c r="D14" s="110">
        <v>36952124.609999999</v>
      </c>
      <c r="E14" s="110">
        <v>31940130.82</v>
      </c>
      <c r="F14" s="110"/>
      <c r="G14" s="110">
        <v>37296144.189999998</v>
      </c>
      <c r="H14" s="110">
        <v>33414604.309999999</v>
      </c>
      <c r="I14" s="110"/>
      <c r="J14" s="110">
        <v>37322517.329999998</v>
      </c>
      <c r="K14" s="110">
        <v>33706313.280000001</v>
      </c>
      <c r="L14" s="110"/>
      <c r="M14" s="110">
        <v>39054235.18</v>
      </c>
      <c r="N14" s="50">
        <v>32814449.469999999</v>
      </c>
      <c r="O14" s="62"/>
      <c r="P14" s="110">
        <v>35441383.780000001</v>
      </c>
      <c r="Q14" s="120">
        <v>32019080.010000002</v>
      </c>
      <c r="R14" s="101"/>
      <c r="S14" s="110">
        <v>33633322.600000001</v>
      </c>
      <c r="T14" s="101"/>
      <c r="U14" s="101"/>
      <c r="V14" s="110">
        <v>29505077.870000001</v>
      </c>
      <c r="W14" s="101"/>
      <c r="X14" s="101"/>
      <c r="Y14" s="110">
        <v>30469250.850000001</v>
      </c>
      <c r="Z14" s="101"/>
      <c r="AA14" s="101"/>
      <c r="AB14" s="110">
        <v>31133962.109999999</v>
      </c>
      <c r="AC14" s="101"/>
      <c r="AD14" s="101"/>
      <c r="AE14" s="112">
        <v>-43153929.420000002</v>
      </c>
      <c r="AF14" s="48"/>
      <c r="AG14" s="48"/>
      <c r="AH14" s="50">
        <v>32343095.34</v>
      </c>
      <c r="AI14" s="48"/>
      <c r="AJ14" s="48"/>
      <c r="AK14" s="50">
        <v>32380095.32</v>
      </c>
      <c r="AL14" s="48"/>
      <c r="AM14" s="10"/>
      <c r="AN14" s="50">
        <f t="shared" si="2"/>
        <v>332377279.75999999</v>
      </c>
      <c r="AO14" s="50">
        <f t="shared" si="3"/>
        <v>163894577.88999999</v>
      </c>
    </row>
    <row r="15" spans="1:41" x14ac:dyDescent="0.25">
      <c r="A15" s="8"/>
      <c r="B15" s="71" t="s">
        <v>42</v>
      </c>
      <c r="C15" s="110"/>
      <c r="D15" s="110">
        <v>53500</v>
      </c>
      <c r="E15" s="110">
        <v>52622.95</v>
      </c>
      <c r="F15" s="110"/>
      <c r="G15" s="110">
        <v>53500</v>
      </c>
      <c r="H15" s="110">
        <v>52622.95</v>
      </c>
      <c r="I15" s="110"/>
      <c r="J15" s="110">
        <v>53500</v>
      </c>
      <c r="K15" s="110">
        <v>52622.95</v>
      </c>
      <c r="L15" s="110"/>
      <c r="M15" s="110">
        <v>53500</v>
      </c>
      <c r="N15" s="50">
        <v>52622.95</v>
      </c>
      <c r="O15" s="62"/>
      <c r="P15" s="110"/>
      <c r="Q15" s="120">
        <v>52622.95</v>
      </c>
      <c r="R15" s="101"/>
      <c r="S15" s="111"/>
      <c r="T15" s="101"/>
      <c r="U15" s="101"/>
      <c r="V15" s="111"/>
      <c r="W15" s="101"/>
      <c r="X15" s="101"/>
      <c r="Y15" s="111"/>
      <c r="Z15" s="101"/>
      <c r="AA15" s="101"/>
      <c r="AB15" s="111"/>
      <c r="AC15" s="101"/>
      <c r="AD15" s="101"/>
      <c r="AE15" s="78"/>
      <c r="AF15" s="48"/>
      <c r="AG15" s="48"/>
      <c r="AH15" s="50">
        <v>53500</v>
      </c>
      <c r="AI15" s="48"/>
      <c r="AJ15" s="48"/>
      <c r="AK15" s="50">
        <v>53500</v>
      </c>
      <c r="AL15" s="48"/>
      <c r="AM15" s="10"/>
      <c r="AN15" s="50">
        <f t="shared" si="2"/>
        <v>321000</v>
      </c>
      <c r="AO15" s="50">
        <f t="shared" si="3"/>
        <v>263114.75</v>
      </c>
    </row>
    <row r="16" spans="1:41" x14ac:dyDescent="0.25">
      <c r="A16" s="8"/>
      <c r="B16" s="70" t="s">
        <v>39</v>
      </c>
      <c r="C16" s="110"/>
      <c r="D16" s="110">
        <v>18674892.829999998</v>
      </c>
      <c r="E16" s="110">
        <v>14311567.359999999</v>
      </c>
      <c r="F16" s="110"/>
      <c r="G16" s="110">
        <v>18845344.440000001</v>
      </c>
      <c r="H16" s="110">
        <v>14925247.199999999</v>
      </c>
      <c r="I16" s="110"/>
      <c r="J16" s="110">
        <v>18845344.440000001</v>
      </c>
      <c r="K16" s="110">
        <v>14975620.77</v>
      </c>
      <c r="L16" s="110"/>
      <c r="M16" s="110">
        <v>18581144.440000001</v>
      </c>
      <c r="N16" s="50">
        <v>13230733.130000001</v>
      </c>
      <c r="O16" s="62"/>
      <c r="P16" s="110">
        <v>17086921.859999999</v>
      </c>
      <c r="Q16" s="120">
        <v>10112643.52</v>
      </c>
      <c r="R16" s="101"/>
      <c r="S16" s="110">
        <v>15643439.439999999</v>
      </c>
      <c r="T16" s="101"/>
      <c r="U16" s="101"/>
      <c r="V16" s="110">
        <v>15341042.83</v>
      </c>
      <c r="W16" s="101"/>
      <c r="X16" s="101"/>
      <c r="Y16" s="110">
        <v>14782325.09</v>
      </c>
      <c r="Z16" s="101"/>
      <c r="AA16" s="101"/>
      <c r="AB16" s="110">
        <v>15733796.109999999</v>
      </c>
      <c r="AC16" s="101"/>
      <c r="AD16" s="101"/>
      <c r="AE16" s="112">
        <v>-21812007.469999999</v>
      </c>
      <c r="AF16" s="48"/>
      <c r="AG16" s="48"/>
      <c r="AH16" s="50">
        <v>13857814.810000001</v>
      </c>
      <c r="AI16" s="48"/>
      <c r="AJ16" s="48"/>
      <c r="AK16" s="50">
        <v>14332114.99</v>
      </c>
      <c r="AL16" s="48"/>
      <c r="AM16" s="10"/>
      <c r="AN16" s="50">
        <f t="shared" si="2"/>
        <v>159912173.80999997</v>
      </c>
      <c r="AO16" s="50">
        <f t="shared" si="3"/>
        <v>67555811.980000004</v>
      </c>
    </row>
    <row r="17" spans="1:41" s="24" customFormat="1" ht="14.25" x14ac:dyDescent="0.2">
      <c r="A17" s="8"/>
      <c r="B17" s="107" t="s">
        <v>7</v>
      </c>
      <c r="C17" s="113">
        <f>SUM(C7:C16)</f>
        <v>52148778.210000001</v>
      </c>
      <c r="D17" s="113">
        <f>SUM(D7:D16)</f>
        <v>57125517.439999998</v>
      </c>
      <c r="E17" s="113">
        <f>SUM(E7:E16)</f>
        <v>47492271.939999998</v>
      </c>
      <c r="F17" s="113">
        <f>SUM(F7:F16)</f>
        <v>52148778.210000001</v>
      </c>
      <c r="G17" s="113">
        <f t="shared" ref="G17:J17" si="4">SUM(G7:G16)</f>
        <v>58127388.629999995</v>
      </c>
      <c r="H17" s="113">
        <f t="shared" si="4"/>
        <v>49580425.269999996</v>
      </c>
      <c r="I17" s="113">
        <f>SUM(I7:I16)</f>
        <v>52148778.210000001</v>
      </c>
      <c r="J17" s="113">
        <f t="shared" si="4"/>
        <v>58153761.769999996</v>
      </c>
      <c r="K17" s="113">
        <f t="shared" ref="K17" si="5">SUM(K7:K16)</f>
        <v>49922507.810000002</v>
      </c>
      <c r="L17" s="113">
        <f>SUM(L7:L16)</f>
        <v>52092544.57</v>
      </c>
      <c r="M17" s="113">
        <f t="shared" ref="M17:N17" si="6">SUM(M7:M16)</f>
        <v>59621279.620000005</v>
      </c>
      <c r="N17" s="113">
        <f t="shared" si="6"/>
        <v>47285756.360000007</v>
      </c>
      <c r="O17" s="113">
        <f>SUM(O7:O16)</f>
        <v>51577000.68</v>
      </c>
      <c r="P17" s="113">
        <f t="shared" ref="P17" si="7">SUM(P7:P16)</f>
        <v>54460705.640000001</v>
      </c>
      <c r="Q17" s="113">
        <f t="shared" ref="Q17:S17" si="8">SUM(Q7:Q16)</f>
        <v>43372297.289999999</v>
      </c>
      <c r="R17" s="113">
        <f>SUM(R7:R16)</f>
        <v>53364560.840000004</v>
      </c>
      <c r="S17" s="113">
        <f t="shared" si="8"/>
        <v>51209162.039999999</v>
      </c>
      <c r="T17" s="113">
        <f t="shared" ref="T17" si="9">SUM(T7:T16)</f>
        <v>0</v>
      </c>
      <c r="U17" s="113">
        <f>SUM(U7:U16)</f>
        <v>54246448.75</v>
      </c>
      <c r="V17" s="113">
        <f t="shared" ref="V17:W17" si="10">SUM(V7:V16)</f>
        <v>46778520.700000003</v>
      </c>
      <c r="W17" s="113">
        <f t="shared" si="10"/>
        <v>0</v>
      </c>
      <c r="X17" s="113">
        <f>SUM(X7:X16)</f>
        <v>54333545.519999996</v>
      </c>
      <c r="Y17" s="113">
        <f t="shared" ref="Y17" si="11">SUM(Y7:Y16)</f>
        <v>47183975.939999998</v>
      </c>
      <c r="Z17" s="113">
        <f t="shared" ref="Z17:AB17" si="12">SUM(Z7:Z16)</f>
        <v>0</v>
      </c>
      <c r="AA17" s="113">
        <f>SUM(AA7:AA16)</f>
        <v>54396448.75</v>
      </c>
      <c r="AB17" s="113">
        <f t="shared" si="12"/>
        <v>48800158.219999999</v>
      </c>
      <c r="AC17" s="113">
        <f t="shared" ref="AC17" si="13">SUM(AC7:AC16)</f>
        <v>0</v>
      </c>
      <c r="AD17" s="113">
        <f>SUM(AD7:AD16)</f>
        <v>53658581.760000005</v>
      </c>
      <c r="AE17" s="113">
        <f t="shared" ref="AE17:AF17" si="14">SUM(AE7:AE16)</f>
        <v>-63758186.890000001</v>
      </c>
      <c r="AF17" s="113">
        <f t="shared" si="14"/>
        <v>0</v>
      </c>
      <c r="AG17" s="113">
        <f>SUM(AG7:AG16)</f>
        <v>54899338.75</v>
      </c>
      <c r="AH17" s="113">
        <f t="shared" ref="AH17" si="15">SUM(AH7:AH16)</f>
        <v>47462160.150000006</v>
      </c>
      <c r="AI17" s="113">
        <f t="shared" ref="AI17:AK17" si="16">SUM(AI7:AI16)</f>
        <v>0</v>
      </c>
      <c r="AJ17" s="113">
        <f>SUM(AJ7:AJ16)</f>
        <v>55455955.879999995</v>
      </c>
      <c r="AK17" s="113">
        <f t="shared" si="16"/>
        <v>47973460.310000002</v>
      </c>
      <c r="AL17" s="113">
        <f t="shared" ref="AL17" si="17">SUM(AL7:AL16)</f>
        <v>0</v>
      </c>
      <c r="AM17" s="114">
        <f t="shared" si="1"/>
        <v>640470760.13</v>
      </c>
      <c r="AN17" s="114">
        <f>D17+G17+J17+M17+P17+S17+V17+Y17+AB17+AE17+AH17+AK17</f>
        <v>513137903.56999999</v>
      </c>
      <c r="AO17" s="114">
        <f>E17+H17+K17+N17+Q17+T17+W17+Z17+AC17+AF17+AI17+AL17</f>
        <v>237653258.66999999</v>
      </c>
    </row>
    <row r="18" spans="1:41" s="24" customFormat="1" ht="14.25" x14ac:dyDescent="0.2">
      <c r="A18" s="8"/>
      <c r="B18" s="32" t="s">
        <v>8</v>
      </c>
      <c r="C18" s="113">
        <f>C17*0.8</f>
        <v>41719022.568000004</v>
      </c>
      <c r="D18" s="113">
        <f>D17*0.75</f>
        <v>42844138.079999998</v>
      </c>
      <c r="E18" s="113">
        <f>E17*0.75</f>
        <v>35619203.954999998</v>
      </c>
      <c r="F18" s="113">
        <f>F17*0.8</f>
        <v>41719022.568000004</v>
      </c>
      <c r="G18" s="113">
        <f t="shared" ref="G18:J18" si="18">G17*0.75</f>
        <v>43595541.472499996</v>
      </c>
      <c r="H18" s="113">
        <f t="shared" si="18"/>
        <v>37185318.952500001</v>
      </c>
      <c r="I18" s="113">
        <f>I17*0.8</f>
        <v>41719022.568000004</v>
      </c>
      <c r="J18" s="113">
        <f t="shared" si="18"/>
        <v>43615321.327500001</v>
      </c>
      <c r="K18" s="113">
        <f t="shared" ref="K18" si="19">K17*0.75</f>
        <v>37441880.857500002</v>
      </c>
      <c r="L18" s="113">
        <f>L17*0.8</f>
        <v>41674035.656000003</v>
      </c>
      <c r="M18" s="113">
        <f t="shared" ref="M18:N18" si="20">M17*0.75</f>
        <v>44715959.715000004</v>
      </c>
      <c r="N18" s="113">
        <f t="shared" si="20"/>
        <v>35464317.270000003</v>
      </c>
      <c r="O18" s="113">
        <f>O17*0.8</f>
        <v>41261600.544</v>
      </c>
      <c r="P18" s="113">
        <f t="shared" ref="P18" si="21">P17*0.75</f>
        <v>40845529.230000004</v>
      </c>
      <c r="Q18" s="113">
        <f t="shared" ref="Q18:S18" si="22">Q17*0.75</f>
        <v>32529222.967500001</v>
      </c>
      <c r="R18" s="113">
        <f>R17*0.8</f>
        <v>42691648.672000006</v>
      </c>
      <c r="S18" s="113">
        <f t="shared" si="22"/>
        <v>38406871.530000001</v>
      </c>
      <c r="T18" s="113">
        <f t="shared" ref="T18" si="23">T17*0.75</f>
        <v>0</v>
      </c>
      <c r="U18" s="113">
        <f>U17*0.8</f>
        <v>43397159</v>
      </c>
      <c r="V18" s="113">
        <f t="shared" ref="V18:W18" si="24">V17*0.75</f>
        <v>35083890.525000006</v>
      </c>
      <c r="W18" s="113">
        <f t="shared" si="24"/>
        <v>0</v>
      </c>
      <c r="X18" s="113">
        <f>X17*0.8</f>
        <v>43466836.416000001</v>
      </c>
      <c r="Y18" s="113">
        <f t="shared" ref="Y18" si="25">Y17*0.75</f>
        <v>35387981.954999998</v>
      </c>
      <c r="Z18" s="113">
        <f t="shared" ref="Z18:AB18" si="26">Z17*0.75</f>
        <v>0</v>
      </c>
      <c r="AA18" s="113">
        <f>AA17*0.8</f>
        <v>43517159</v>
      </c>
      <c r="AB18" s="113">
        <f t="shared" si="26"/>
        <v>36600118.664999999</v>
      </c>
      <c r="AC18" s="113">
        <f t="shared" ref="AC18" si="27">AC17*0.75</f>
        <v>0</v>
      </c>
      <c r="AD18" s="113">
        <f>AD17*0.8</f>
        <v>42926865.408000007</v>
      </c>
      <c r="AE18" s="113">
        <f t="shared" ref="AE18:AF18" si="28">AE17*0.75</f>
        <v>-47818640.167500004</v>
      </c>
      <c r="AF18" s="113">
        <f t="shared" si="28"/>
        <v>0</v>
      </c>
      <c r="AG18" s="113">
        <f>AG17*0.8</f>
        <v>43919471</v>
      </c>
      <c r="AH18" s="113">
        <f t="shared" ref="AH18" si="29">AH17*0.75</f>
        <v>35596620.112500004</v>
      </c>
      <c r="AI18" s="113">
        <f t="shared" ref="AI18:AK18" si="30">AI17*0.75</f>
        <v>0</v>
      </c>
      <c r="AJ18" s="113">
        <f>AJ17*0.8</f>
        <v>44364764.703999996</v>
      </c>
      <c r="AK18" s="113">
        <f t="shared" si="30"/>
        <v>35980095.232500002</v>
      </c>
      <c r="AL18" s="113">
        <f t="shared" ref="AL18" si="31">AL17*0.75</f>
        <v>0</v>
      </c>
      <c r="AM18" s="114">
        <f t="shared" si="1"/>
        <v>512376608.10400003</v>
      </c>
      <c r="AN18" s="114">
        <f>D18+G18+J18+M18+P18+S18+V18+Y18+AB18+AE18+AH18+AK18</f>
        <v>384853427.67750001</v>
      </c>
      <c r="AO18" s="114">
        <f>E18+H18+K18+N18+Q18+T18+W18+Z18+AC18+AF18+AI18+AL18</f>
        <v>178239944.0025</v>
      </c>
    </row>
    <row r="19" spans="1:41" x14ac:dyDescent="0.25">
      <c r="A19" s="8"/>
      <c r="B19" s="14"/>
      <c r="C19" s="6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111"/>
      <c r="AC19" s="111"/>
      <c r="AD19" s="111"/>
      <c r="AE19" s="50"/>
      <c r="AF19" s="50"/>
      <c r="AG19" s="50"/>
      <c r="AH19" s="50"/>
      <c r="AI19" s="50"/>
      <c r="AJ19" s="50"/>
      <c r="AK19" s="50"/>
      <c r="AL19" s="50"/>
      <c r="AM19" s="50"/>
      <c r="AN19" s="50">
        <f t="shared" ref="AN19" si="32">D19+G19+J19+M19+P19+S19+V19+Y19+AB19+AE19+AH19+AK19</f>
        <v>0</v>
      </c>
      <c r="AO19" s="50">
        <f t="shared" ref="AO19:AO20" si="33">E19+H19+K19+N19+Q19+T19+W19+Z19+AC19+AF19+AI19+AL19</f>
        <v>0</v>
      </c>
    </row>
    <row r="20" spans="1:41" x14ac:dyDescent="0.25">
      <c r="A20" s="117" t="s">
        <v>28</v>
      </c>
      <c r="B20" s="9"/>
      <c r="C20" s="6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111"/>
      <c r="AC20" s="111"/>
      <c r="AD20" s="111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>
        <f t="shared" si="33"/>
        <v>0</v>
      </c>
    </row>
    <row r="21" spans="1:41" x14ac:dyDescent="0.25">
      <c r="A21" s="8"/>
      <c r="B21" s="49" t="s">
        <v>58</v>
      </c>
      <c r="C21" s="62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50"/>
      <c r="R21" s="50"/>
      <c r="S21" s="50"/>
      <c r="T21" s="50"/>
      <c r="U21" s="50"/>
      <c r="V21" s="50"/>
      <c r="W21" s="50"/>
      <c r="X21" s="10">
        <v>245625.25</v>
      </c>
      <c r="Y21" s="50"/>
      <c r="Z21" s="50"/>
      <c r="AA21" s="10">
        <v>304575.32</v>
      </c>
      <c r="AB21" s="111"/>
      <c r="AC21" s="111"/>
      <c r="AD21" s="10">
        <v>304575.32</v>
      </c>
      <c r="AE21" s="50"/>
      <c r="AF21" s="50"/>
      <c r="AG21" s="10">
        <v>304575.32</v>
      </c>
      <c r="AH21" s="50"/>
      <c r="AI21" s="50"/>
      <c r="AJ21" s="10">
        <v>304575.32</v>
      </c>
      <c r="AK21" s="50"/>
      <c r="AL21" s="50"/>
      <c r="AM21" s="50">
        <f>C21+F21+I21+L21+O21+R21+U21+X21+AA21+AD21+AG21+AJ21</f>
        <v>1463926.5300000003</v>
      </c>
      <c r="AN21" s="50"/>
      <c r="AO21" s="50"/>
    </row>
    <row r="22" spans="1:41" x14ac:dyDescent="0.25">
      <c r="A22" s="8"/>
      <c r="B22" s="49" t="s">
        <v>55</v>
      </c>
      <c r="C22" s="10">
        <v>679318.2</v>
      </c>
      <c r="D22" s="10"/>
      <c r="E22" s="10"/>
      <c r="F22" s="10">
        <v>679318.2</v>
      </c>
      <c r="G22" s="10"/>
      <c r="H22" s="10"/>
      <c r="I22" s="10">
        <v>679318.2</v>
      </c>
      <c r="J22" s="10"/>
      <c r="K22" s="10"/>
      <c r="L22" s="10">
        <v>679318.2</v>
      </c>
      <c r="M22" s="10"/>
      <c r="N22" s="10"/>
      <c r="O22" s="10">
        <v>679318.2</v>
      </c>
      <c r="P22" s="10"/>
      <c r="Q22" s="50"/>
      <c r="R22" s="10">
        <v>679318.2</v>
      </c>
      <c r="S22" s="50"/>
      <c r="T22" s="50"/>
      <c r="U22" s="10">
        <v>679318.2</v>
      </c>
      <c r="V22" s="50"/>
      <c r="W22" s="50"/>
      <c r="X22" s="10">
        <v>679318.2</v>
      </c>
      <c r="Y22" s="50"/>
      <c r="Z22" s="50"/>
      <c r="AA22" s="10">
        <v>679318.2</v>
      </c>
      <c r="AB22" s="111"/>
      <c r="AC22" s="111"/>
      <c r="AD22" s="10">
        <v>679318.2</v>
      </c>
      <c r="AE22" s="50"/>
      <c r="AF22" s="50"/>
      <c r="AG22" s="10">
        <v>679318.2</v>
      </c>
      <c r="AH22" s="50"/>
      <c r="AI22" s="50"/>
      <c r="AJ22" s="10">
        <v>679318.2</v>
      </c>
      <c r="AK22" s="50"/>
      <c r="AL22" s="50"/>
      <c r="AM22" s="50">
        <f t="shared" ref="AM22:AM24" si="34">C22+F22+I22+L22+O22+R22+U22+X22+AA22+AD22+AG22+AJ22</f>
        <v>8151818.4000000013</v>
      </c>
      <c r="AN22" s="50"/>
      <c r="AO22" s="50"/>
    </row>
    <row r="23" spans="1:41" x14ac:dyDescent="0.25">
      <c r="A23" s="8"/>
      <c r="B23" s="49" t="s">
        <v>56</v>
      </c>
      <c r="C23" s="10">
        <v>29295366.93</v>
      </c>
      <c r="D23" s="10"/>
      <c r="E23" s="10"/>
      <c r="F23" s="10">
        <v>29295366.93</v>
      </c>
      <c r="G23" s="10"/>
      <c r="H23" s="10"/>
      <c r="I23" s="10">
        <v>29295366.93</v>
      </c>
      <c r="J23" s="10"/>
      <c r="K23" s="10"/>
      <c r="L23" s="10">
        <v>29186389.16</v>
      </c>
      <c r="M23" s="10"/>
      <c r="N23" s="10"/>
      <c r="O23" s="10">
        <v>29091033.600000001</v>
      </c>
      <c r="P23" s="10"/>
      <c r="Q23" s="50"/>
      <c r="R23" s="10">
        <v>29548199.969999999</v>
      </c>
      <c r="S23" s="50"/>
      <c r="T23" s="50"/>
      <c r="U23" s="10">
        <v>25611200.140000001</v>
      </c>
      <c r="V23" s="50"/>
      <c r="W23" s="50"/>
      <c r="X23" s="10">
        <v>25984773.100000001</v>
      </c>
      <c r="Y23" s="50"/>
      <c r="Z23" s="50"/>
      <c r="AA23" s="10">
        <v>27376105.359999999</v>
      </c>
      <c r="AB23" s="111"/>
      <c r="AC23" s="111"/>
      <c r="AD23" s="10">
        <v>26509859.190000001</v>
      </c>
      <c r="AE23" s="50"/>
      <c r="AF23" s="50"/>
      <c r="AG23" s="10">
        <v>29416369.43</v>
      </c>
      <c r="AH23" s="50"/>
      <c r="AI23" s="50"/>
      <c r="AJ23" s="10">
        <v>32343301.260000002</v>
      </c>
      <c r="AK23" s="50"/>
      <c r="AL23" s="50"/>
      <c r="AM23" s="50">
        <f t="shared" si="34"/>
        <v>342953331.99999994</v>
      </c>
      <c r="AN23" s="50"/>
      <c r="AO23" s="50"/>
    </row>
    <row r="24" spans="1:41" x14ac:dyDescent="0.25">
      <c r="A24" s="8"/>
      <c r="B24" s="49" t="s">
        <v>57</v>
      </c>
      <c r="C24" s="10">
        <v>1127708.33</v>
      </c>
      <c r="D24" s="10"/>
      <c r="E24" s="10"/>
      <c r="F24" s="10">
        <v>1127708.33</v>
      </c>
      <c r="G24" s="10"/>
      <c r="H24" s="10"/>
      <c r="I24" s="10">
        <v>1127708.33</v>
      </c>
      <c r="J24" s="10"/>
      <c r="K24" s="10"/>
      <c r="L24" s="10">
        <v>1127708.33</v>
      </c>
      <c r="M24" s="10"/>
      <c r="N24" s="10"/>
      <c r="O24" s="10">
        <v>1127708.33</v>
      </c>
      <c r="P24" s="10"/>
      <c r="Q24" s="50"/>
      <c r="R24" s="10">
        <v>1127708.33</v>
      </c>
      <c r="S24" s="50"/>
      <c r="T24" s="50"/>
      <c r="U24" s="10">
        <v>1127708.33</v>
      </c>
      <c r="V24" s="50"/>
      <c r="W24" s="50"/>
      <c r="X24" s="10">
        <v>1127708.33</v>
      </c>
      <c r="Y24" s="50"/>
      <c r="Z24" s="50"/>
      <c r="AA24" s="10">
        <v>1127708.33</v>
      </c>
      <c r="AB24" s="111"/>
      <c r="AC24" s="111"/>
      <c r="AD24" s="10">
        <v>1127708.33</v>
      </c>
      <c r="AE24" s="50"/>
      <c r="AF24" s="50"/>
      <c r="AG24" s="10">
        <v>1127708.33</v>
      </c>
      <c r="AH24" s="50"/>
      <c r="AI24" s="50"/>
      <c r="AJ24" s="10">
        <v>1127708.33</v>
      </c>
      <c r="AK24" s="50"/>
      <c r="AL24" s="50"/>
      <c r="AM24" s="50">
        <f t="shared" si="34"/>
        <v>13532499.960000001</v>
      </c>
      <c r="AN24" s="50"/>
      <c r="AO24" s="50"/>
    </row>
    <row r="25" spans="1:41" x14ac:dyDescent="0.25">
      <c r="A25" s="1"/>
      <c r="B25" s="49" t="s">
        <v>43</v>
      </c>
      <c r="C25" s="101"/>
      <c r="D25" s="10">
        <v>34763246.93</v>
      </c>
      <c r="E25" s="10">
        <v>21855275.760000002</v>
      </c>
      <c r="F25" s="10"/>
      <c r="G25" s="10">
        <v>34172284.82</v>
      </c>
      <c r="H25" s="10">
        <v>23919210.309999999</v>
      </c>
      <c r="I25" s="10"/>
      <c r="J25" s="10">
        <v>34380890.189999998</v>
      </c>
      <c r="K25" s="10">
        <v>23798500.75</v>
      </c>
      <c r="L25" s="10"/>
      <c r="M25" s="10">
        <v>31750262.579999998</v>
      </c>
      <c r="N25" s="1">
        <v>22648839.289999999</v>
      </c>
      <c r="O25" s="1"/>
      <c r="P25" s="50">
        <v>29655924.16</v>
      </c>
      <c r="Q25" s="48">
        <v>21964958.579999998</v>
      </c>
      <c r="R25" s="48"/>
      <c r="S25" s="50">
        <v>28062967.829999998</v>
      </c>
      <c r="T25" s="48"/>
      <c r="U25" s="10"/>
      <c r="V25" s="50">
        <v>27545085.440000001</v>
      </c>
      <c r="W25" s="1"/>
      <c r="X25" s="1"/>
      <c r="Y25" s="50">
        <v>27666273.539999999</v>
      </c>
      <c r="Z25" s="1"/>
      <c r="AA25" s="10"/>
      <c r="AB25" s="50">
        <v>29823167.16</v>
      </c>
      <c r="AC25" s="62"/>
      <c r="AD25" s="62"/>
      <c r="AE25" s="112">
        <v>8787210.1300000008</v>
      </c>
      <c r="AF25" s="48"/>
      <c r="AG25" s="48"/>
      <c r="AH25" s="50">
        <v>20356264.879999999</v>
      </c>
      <c r="AI25" s="1"/>
      <c r="AJ25" s="1"/>
      <c r="AK25" s="50">
        <v>21544117.280000001</v>
      </c>
      <c r="AL25" s="1"/>
      <c r="AM25" s="50"/>
      <c r="AN25" s="50">
        <f t="shared" ref="AN25:AN28" si="35">D25+G25+J25+M25+P25+S25+V25+Y25+AB25+AE25+AH25+AK25</f>
        <v>328507694.93999994</v>
      </c>
      <c r="AO25" s="50">
        <f>D25+G25+J25+M25+P25+S25+V25+Y25+AB25+AE25+AH25+AK25</f>
        <v>328507694.93999994</v>
      </c>
    </row>
    <row r="26" spans="1:41" x14ac:dyDescent="0.25">
      <c r="A26" s="1"/>
      <c r="B26" s="49" t="s">
        <v>44</v>
      </c>
      <c r="C26" s="101"/>
      <c r="D26" s="10">
        <v>1127708.33</v>
      </c>
      <c r="E26" s="10">
        <v>1075901.6399999999</v>
      </c>
      <c r="F26" s="10"/>
      <c r="G26" s="10">
        <v>1127708.33</v>
      </c>
      <c r="H26" s="10">
        <v>1075901.6399999999</v>
      </c>
      <c r="I26" s="10"/>
      <c r="J26" s="10">
        <v>1127708.33</v>
      </c>
      <c r="K26" s="10">
        <v>1075901.6399999999</v>
      </c>
      <c r="L26" s="10"/>
      <c r="M26" s="10">
        <v>1127708.33</v>
      </c>
      <c r="N26" s="1">
        <v>1075901.6399999999</v>
      </c>
      <c r="O26" s="1"/>
      <c r="P26" s="50">
        <v>1127708.33</v>
      </c>
      <c r="Q26" s="48">
        <v>1075901.6399999999</v>
      </c>
      <c r="R26" s="48"/>
      <c r="S26" s="50">
        <v>1093833.33</v>
      </c>
      <c r="T26" s="48"/>
      <c r="U26" s="48"/>
      <c r="V26" s="50">
        <v>1093833.33</v>
      </c>
      <c r="W26" s="1"/>
      <c r="X26" s="1"/>
      <c r="Y26" s="50">
        <v>1093833.33</v>
      </c>
      <c r="Z26" s="1"/>
      <c r="AA26" s="1"/>
      <c r="AB26" s="111">
        <v>1093833.33</v>
      </c>
      <c r="AC26" s="62"/>
      <c r="AD26" s="62"/>
      <c r="AE26" s="50">
        <v>1093833.33</v>
      </c>
      <c r="AF26" s="48"/>
      <c r="AG26" s="48"/>
      <c r="AH26" s="50">
        <v>1093833.33</v>
      </c>
      <c r="AI26" s="1"/>
      <c r="AJ26" s="1"/>
      <c r="AK26" s="50">
        <v>1093833.33</v>
      </c>
      <c r="AL26" s="1"/>
      <c r="AM26" s="50"/>
      <c r="AN26" s="50">
        <f t="shared" si="35"/>
        <v>13295374.960000001</v>
      </c>
      <c r="AO26" s="50">
        <f>D26+G26+J26+M26+P26+S26+V26+Y26+AB26+AE26+AH26+AK26</f>
        <v>13295374.960000001</v>
      </c>
    </row>
    <row r="27" spans="1:41" x14ac:dyDescent="0.25">
      <c r="A27" s="1"/>
      <c r="B27" s="49" t="s">
        <v>30</v>
      </c>
      <c r="C27" s="101"/>
      <c r="D27" s="10">
        <v>304575.32</v>
      </c>
      <c r="E27" s="10">
        <v>258260.58</v>
      </c>
      <c r="F27" s="10"/>
      <c r="G27" s="10">
        <v>304575.32</v>
      </c>
      <c r="H27" s="10">
        <v>258260.58</v>
      </c>
      <c r="I27" s="10"/>
      <c r="J27" s="10">
        <v>304575.32</v>
      </c>
      <c r="K27" s="10">
        <v>258260.58</v>
      </c>
      <c r="L27" s="10"/>
      <c r="M27" s="10">
        <v>304575.32</v>
      </c>
      <c r="N27" s="1">
        <v>258260.58</v>
      </c>
      <c r="O27" s="1"/>
      <c r="P27" s="50">
        <v>304575.32</v>
      </c>
      <c r="Q27" s="48">
        <v>258260.58</v>
      </c>
      <c r="R27" s="48"/>
      <c r="S27" s="50">
        <v>304575.32</v>
      </c>
      <c r="T27" s="48"/>
      <c r="U27" s="48"/>
      <c r="V27" s="50">
        <v>304575.32</v>
      </c>
      <c r="W27" s="1"/>
      <c r="X27" s="1"/>
      <c r="Y27" s="50">
        <v>304575.32</v>
      </c>
      <c r="Z27" s="1"/>
      <c r="AA27" s="1"/>
      <c r="AB27" s="111">
        <v>304575.32</v>
      </c>
      <c r="AC27" s="62"/>
      <c r="AD27" s="62"/>
      <c r="AE27" s="50">
        <v>262564.92</v>
      </c>
      <c r="AF27" s="48"/>
      <c r="AG27" s="48"/>
      <c r="AH27" s="50">
        <v>262564.92</v>
      </c>
      <c r="AI27" s="1"/>
      <c r="AJ27" s="1"/>
      <c r="AK27" s="50">
        <v>262564.92</v>
      </c>
      <c r="AL27" s="1"/>
      <c r="AM27" s="50"/>
      <c r="AN27" s="50">
        <f t="shared" si="35"/>
        <v>3528872.6399999997</v>
      </c>
      <c r="AO27" s="50">
        <f>D27+G27+J27+M27+P27+S27+V27+Y27+AB27+AE27+AH27+AK27</f>
        <v>3528872.6399999997</v>
      </c>
    </row>
    <row r="28" spans="1:41" ht="15.75" thickBot="1" x14ac:dyDescent="0.3">
      <c r="A28" s="1"/>
      <c r="B28" s="49" t="s">
        <v>45</v>
      </c>
      <c r="C28" s="101"/>
      <c r="D28" s="10">
        <v>679318.2</v>
      </c>
      <c r="E28" s="10">
        <v>870601.42</v>
      </c>
      <c r="F28" s="10"/>
      <c r="G28" s="10">
        <v>679318.2</v>
      </c>
      <c r="H28" s="10">
        <v>870601.42</v>
      </c>
      <c r="I28" s="10"/>
      <c r="J28" s="10">
        <v>679318.2</v>
      </c>
      <c r="K28" s="10">
        <v>870601.42</v>
      </c>
      <c r="L28" s="10"/>
      <c r="M28" s="10">
        <v>679318.2</v>
      </c>
      <c r="N28" s="1">
        <v>870601.42</v>
      </c>
      <c r="O28" s="1"/>
      <c r="P28" s="50">
        <v>596759.99</v>
      </c>
      <c r="Q28" s="48">
        <v>870601.42</v>
      </c>
      <c r="R28" s="48"/>
      <c r="S28" s="50">
        <v>894603.07</v>
      </c>
      <c r="T28" s="48"/>
      <c r="U28" s="48"/>
      <c r="V28" s="50">
        <v>835944.78</v>
      </c>
      <c r="W28" s="1"/>
      <c r="X28" s="1"/>
      <c r="Y28" s="50">
        <v>835944.78</v>
      </c>
      <c r="Z28" s="1"/>
      <c r="AA28" s="1"/>
      <c r="AB28" s="111">
        <v>835944.78</v>
      </c>
      <c r="AC28" s="62"/>
      <c r="AD28" s="62"/>
      <c r="AE28" s="50">
        <v>835944.78</v>
      </c>
      <c r="AF28" s="48"/>
      <c r="AG28" s="48"/>
      <c r="AH28" s="50">
        <v>924694.78</v>
      </c>
      <c r="AI28" s="1"/>
      <c r="AJ28" s="1"/>
      <c r="AK28" s="50">
        <v>973861.44</v>
      </c>
      <c r="AL28" s="1"/>
      <c r="AM28" s="50"/>
      <c r="AN28" s="50">
        <f t="shared" si="35"/>
        <v>9450971.2000000011</v>
      </c>
      <c r="AO28" s="50">
        <f>D28+G28+J28+M28+P28+S28+V28+Y28+AB28+AE28+AH28+AK28</f>
        <v>9450971.2000000011</v>
      </c>
    </row>
    <row r="29" spans="1:41" s="24" customFormat="1" ht="14.25" x14ac:dyDescent="0.2">
      <c r="A29" s="73"/>
      <c r="B29" s="35" t="s">
        <v>7</v>
      </c>
      <c r="C29" s="108">
        <f t="shared" ref="C29:AO29" si="36">SUM(C20:C28)</f>
        <v>31102393.460000001</v>
      </c>
      <c r="D29" s="108">
        <f t="shared" si="36"/>
        <v>36874848.780000001</v>
      </c>
      <c r="E29" s="108">
        <f t="shared" si="36"/>
        <v>24060039.400000002</v>
      </c>
      <c r="F29" s="108">
        <f t="shared" ref="F29" si="37">SUM(F20:F28)</f>
        <v>31102393.460000001</v>
      </c>
      <c r="G29" s="108">
        <f t="shared" si="36"/>
        <v>36283886.670000002</v>
      </c>
      <c r="H29" s="108">
        <f t="shared" si="36"/>
        <v>26123973.949999999</v>
      </c>
      <c r="I29" s="108">
        <f t="shared" si="36"/>
        <v>31102393.460000001</v>
      </c>
      <c r="J29" s="108">
        <f t="shared" si="36"/>
        <v>36492492.039999999</v>
      </c>
      <c r="K29" s="108">
        <f t="shared" si="36"/>
        <v>26003264.390000001</v>
      </c>
      <c r="L29" s="108">
        <f t="shared" ref="L29" si="38">SUM(L20:L28)</f>
        <v>30993415.689999998</v>
      </c>
      <c r="M29" s="108">
        <f t="shared" si="36"/>
        <v>33861864.43</v>
      </c>
      <c r="N29" s="108">
        <f t="shared" si="36"/>
        <v>24853602.93</v>
      </c>
      <c r="O29" s="108">
        <f t="shared" si="36"/>
        <v>30898060.130000003</v>
      </c>
      <c r="P29" s="108">
        <f t="shared" si="36"/>
        <v>31684967.800000001</v>
      </c>
      <c r="Q29" s="108">
        <f t="shared" si="36"/>
        <v>24169722.219999999</v>
      </c>
      <c r="R29" s="108">
        <f t="shared" ref="R29" si="39">SUM(R20:R28)</f>
        <v>31355226.5</v>
      </c>
      <c r="S29" s="108">
        <f t="shared" si="36"/>
        <v>30355979.549999997</v>
      </c>
      <c r="T29" s="108">
        <f t="shared" si="36"/>
        <v>0</v>
      </c>
      <c r="U29" s="108">
        <f t="shared" si="36"/>
        <v>27418226.670000002</v>
      </c>
      <c r="V29" s="108">
        <f t="shared" si="36"/>
        <v>29779438.870000005</v>
      </c>
      <c r="W29" s="108">
        <f t="shared" si="36"/>
        <v>0</v>
      </c>
      <c r="X29" s="108">
        <f t="shared" ref="X29" si="40">SUM(X20:X28)</f>
        <v>28037424.880000003</v>
      </c>
      <c r="Y29" s="108">
        <f t="shared" si="36"/>
        <v>29900626.969999999</v>
      </c>
      <c r="Z29" s="108">
        <f t="shared" si="36"/>
        <v>0</v>
      </c>
      <c r="AA29" s="108">
        <f t="shared" si="36"/>
        <v>29487707.210000001</v>
      </c>
      <c r="AB29" s="108">
        <f t="shared" si="36"/>
        <v>32057520.590000004</v>
      </c>
      <c r="AC29" s="108">
        <f t="shared" si="36"/>
        <v>0</v>
      </c>
      <c r="AD29" s="108">
        <f t="shared" ref="AD29" si="41">SUM(AD20:AD28)</f>
        <v>28621461.039999999</v>
      </c>
      <c r="AE29" s="108">
        <f t="shared" si="36"/>
        <v>10979553.16</v>
      </c>
      <c r="AF29" s="108">
        <f t="shared" si="36"/>
        <v>0</v>
      </c>
      <c r="AG29" s="108">
        <f t="shared" si="36"/>
        <v>31527971.280000001</v>
      </c>
      <c r="AH29" s="108">
        <f t="shared" si="36"/>
        <v>22637357.910000004</v>
      </c>
      <c r="AI29" s="108">
        <f t="shared" si="36"/>
        <v>0</v>
      </c>
      <c r="AJ29" s="108">
        <f t="shared" ref="AJ29" si="42">SUM(AJ20:AJ28)</f>
        <v>34454903.109999999</v>
      </c>
      <c r="AK29" s="108">
        <f t="shared" si="36"/>
        <v>23874376.970000003</v>
      </c>
      <c r="AL29" s="108">
        <f t="shared" si="36"/>
        <v>0</v>
      </c>
      <c r="AM29" s="108">
        <f t="shared" si="36"/>
        <v>366101576.88999993</v>
      </c>
      <c r="AN29" s="108">
        <f t="shared" si="36"/>
        <v>354782913.73999989</v>
      </c>
      <c r="AO29" s="109">
        <f t="shared" si="36"/>
        <v>354782913.73999989</v>
      </c>
    </row>
    <row r="30" spans="1:41" s="24" customFormat="1" thickBot="1" x14ac:dyDescent="0.25">
      <c r="A30" s="74"/>
      <c r="B30" s="36" t="s">
        <v>8</v>
      </c>
      <c r="C30" s="116">
        <f>C29*0.8</f>
        <v>24881914.768000003</v>
      </c>
      <c r="D30" s="27">
        <f>D29*0.75</f>
        <v>27656136.585000001</v>
      </c>
      <c r="E30" s="27">
        <f t="shared" ref="E30:AL30" si="43">E29*0.75</f>
        <v>18045029.550000001</v>
      </c>
      <c r="F30" s="27">
        <f>F29*0.8</f>
        <v>24881914.768000003</v>
      </c>
      <c r="G30" s="27">
        <f t="shared" si="43"/>
        <v>27212915.002500001</v>
      </c>
      <c r="H30" s="27">
        <f t="shared" si="43"/>
        <v>19592980.462499999</v>
      </c>
      <c r="I30" s="27">
        <f>I29*0.8</f>
        <v>24881914.768000003</v>
      </c>
      <c r="J30" s="27">
        <f t="shared" si="43"/>
        <v>27369369.030000001</v>
      </c>
      <c r="K30" s="27">
        <f t="shared" si="43"/>
        <v>19502448.2925</v>
      </c>
      <c r="L30" s="27">
        <f>L29*0.8</f>
        <v>24794732.552000001</v>
      </c>
      <c r="M30" s="27">
        <f t="shared" si="43"/>
        <v>25396398.322499998</v>
      </c>
      <c r="N30" s="27">
        <f t="shared" si="43"/>
        <v>18640202.197499998</v>
      </c>
      <c r="O30" s="27">
        <f>O29*0.8</f>
        <v>24718448.104000002</v>
      </c>
      <c r="P30" s="27">
        <f t="shared" si="43"/>
        <v>23763725.850000001</v>
      </c>
      <c r="Q30" s="27">
        <f t="shared" si="43"/>
        <v>18127291.664999999</v>
      </c>
      <c r="R30" s="27">
        <f>R29*0.8</f>
        <v>25084181.200000003</v>
      </c>
      <c r="S30" s="27">
        <f t="shared" si="43"/>
        <v>22766984.662499998</v>
      </c>
      <c r="T30" s="27">
        <f t="shared" si="43"/>
        <v>0</v>
      </c>
      <c r="U30" s="27">
        <f>U29*0.8</f>
        <v>21934581.336000003</v>
      </c>
      <c r="V30" s="27">
        <f t="shared" si="43"/>
        <v>22334579.152500004</v>
      </c>
      <c r="W30" s="27">
        <f t="shared" si="43"/>
        <v>0</v>
      </c>
      <c r="X30" s="27">
        <f>X29*0.8</f>
        <v>22429939.904000003</v>
      </c>
      <c r="Y30" s="27">
        <f t="shared" si="43"/>
        <v>22425470.227499999</v>
      </c>
      <c r="Z30" s="27">
        <f t="shared" si="43"/>
        <v>0</v>
      </c>
      <c r="AA30" s="27">
        <f>AA29*0.8</f>
        <v>23590165.768000003</v>
      </c>
      <c r="AB30" s="27">
        <f t="shared" si="43"/>
        <v>24043140.442500003</v>
      </c>
      <c r="AC30" s="27">
        <f t="shared" si="43"/>
        <v>0</v>
      </c>
      <c r="AD30" s="27">
        <f>AD29*0.8</f>
        <v>22897168.832000002</v>
      </c>
      <c r="AE30" s="27">
        <f t="shared" si="43"/>
        <v>8234664.8700000001</v>
      </c>
      <c r="AF30" s="27">
        <f t="shared" si="43"/>
        <v>0</v>
      </c>
      <c r="AG30" s="27">
        <f>AG29*0.8</f>
        <v>25222377.024000004</v>
      </c>
      <c r="AH30" s="27">
        <f t="shared" si="43"/>
        <v>16978018.432500005</v>
      </c>
      <c r="AI30" s="27">
        <f t="shared" si="43"/>
        <v>0</v>
      </c>
      <c r="AJ30" s="27">
        <f>AJ29*0.8</f>
        <v>27563922.488000002</v>
      </c>
      <c r="AK30" s="27">
        <f t="shared" si="43"/>
        <v>17905782.727500003</v>
      </c>
      <c r="AL30" s="27">
        <f t="shared" si="43"/>
        <v>0</v>
      </c>
      <c r="AM30" s="27">
        <f>AM29*0.8</f>
        <v>292881261.51199996</v>
      </c>
      <c r="AN30" s="27">
        <f>AN29*0.75</f>
        <v>266087185.30499992</v>
      </c>
      <c r="AO30" s="75">
        <f t="shared" ref="AO30" si="44">AO29*0.75</f>
        <v>266087185.30499992</v>
      </c>
    </row>
    <row r="31" spans="1:41" x14ac:dyDescent="0.25">
      <c r="A31" s="29"/>
      <c r="B31" s="14"/>
      <c r="C31" s="14"/>
      <c r="D31" s="30"/>
      <c r="E31" s="30"/>
      <c r="F31" s="30"/>
      <c r="G31" s="30"/>
      <c r="H31" s="31"/>
      <c r="I31" s="31"/>
      <c r="J31" s="30"/>
      <c r="K31" s="31"/>
      <c r="L31" s="31"/>
      <c r="M31" s="30"/>
      <c r="N31" s="31"/>
      <c r="O31" s="31"/>
      <c r="P31" s="31"/>
      <c r="Q31" s="31"/>
      <c r="R31" s="31"/>
      <c r="S31" s="30"/>
      <c r="T31" s="47"/>
      <c r="U31" s="47"/>
      <c r="V31" s="30"/>
      <c r="W31" s="31"/>
      <c r="X31" s="31"/>
      <c r="Y31" s="30"/>
      <c r="Z31" s="31"/>
      <c r="AA31" s="31"/>
      <c r="AB31" s="67"/>
      <c r="AC31" s="66"/>
      <c r="AD31" s="66"/>
      <c r="AE31" s="46"/>
      <c r="AF31" s="47"/>
      <c r="AG31" s="47"/>
      <c r="AH31" s="47"/>
      <c r="AI31" s="47"/>
      <c r="AJ31" s="47"/>
      <c r="AK31" s="31"/>
      <c r="AL31" s="31"/>
      <c r="AM31" s="31"/>
      <c r="AN31" s="30">
        <f>D31+G31+J31+M31+P31+S31+V31+Y31+AB31+AE31+AH31+AK31</f>
        <v>0</v>
      </c>
      <c r="AO31" s="30">
        <f>E31+H31+K31+N31+Q31+T31+W31+Z31+AC31+AF31+AI31+AL31</f>
        <v>0</v>
      </c>
    </row>
    <row r="32" spans="1:41" ht="15.75" thickBot="1" x14ac:dyDescent="0.3">
      <c r="A32" s="15"/>
      <c r="B32" s="33"/>
      <c r="C32" s="33"/>
      <c r="D32" s="17"/>
      <c r="E32" s="17"/>
      <c r="F32" s="17"/>
      <c r="G32" s="17"/>
      <c r="H32" s="18"/>
      <c r="I32" s="18"/>
      <c r="J32" s="17"/>
      <c r="K32" s="18"/>
      <c r="L32" s="18"/>
      <c r="M32" s="17"/>
      <c r="N32" s="18"/>
      <c r="O32" s="106"/>
      <c r="P32" s="31"/>
      <c r="Q32" s="31"/>
      <c r="R32" s="106"/>
      <c r="S32" s="17"/>
      <c r="T32" s="54"/>
      <c r="U32" s="54"/>
      <c r="V32" s="17"/>
      <c r="W32" s="18"/>
      <c r="X32" s="18"/>
      <c r="Y32" s="17"/>
      <c r="Z32" s="18"/>
      <c r="AA32" s="18"/>
      <c r="AB32" s="68"/>
      <c r="AC32" s="65"/>
      <c r="AD32" s="65"/>
      <c r="AE32" s="56"/>
      <c r="AF32" s="54"/>
      <c r="AG32" s="54"/>
      <c r="AH32" s="54"/>
      <c r="AI32" s="54"/>
      <c r="AJ32" s="54"/>
      <c r="AK32" s="18"/>
      <c r="AL32" s="18"/>
      <c r="AM32" s="106"/>
      <c r="AN32" s="30">
        <f>D32+G32+J32+M32+P32+S32+V32+Y32+AB32+AE32+AH32+AK32</f>
        <v>0</v>
      </c>
      <c r="AO32" s="30">
        <f>E32+H32+K32+N32+Q32+T32+W32+Z32+AC32+AF32+AI32+AL32</f>
        <v>0</v>
      </c>
    </row>
    <row r="33" spans="1:41" s="24" customFormat="1" thickBot="1" x14ac:dyDescent="0.25">
      <c r="A33" s="20"/>
      <c r="B33" s="21" t="s">
        <v>7</v>
      </c>
      <c r="C33" s="22">
        <f>C17+C29</f>
        <v>83251171.670000002</v>
      </c>
      <c r="D33" s="22">
        <f>D17+D29</f>
        <v>94000366.219999999</v>
      </c>
      <c r="E33" s="22">
        <f t="shared" ref="E33:AL33" si="45">E17+E29</f>
        <v>71552311.340000004</v>
      </c>
      <c r="F33" s="22">
        <f>F17+F29</f>
        <v>83251171.670000002</v>
      </c>
      <c r="G33" s="22">
        <f t="shared" si="45"/>
        <v>94411275.299999997</v>
      </c>
      <c r="H33" s="22">
        <f t="shared" si="45"/>
        <v>75704399.219999999</v>
      </c>
      <c r="I33" s="22">
        <f>I17+I29</f>
        <v>83251171.670000002</v>
      </c>
      <c r="J33" s="22">
        <f t="shared" si="45"/>
        <v>94646253.810000002</v>
      </c>
      <c r="K33" s="22">
        <f t="shared" si="45"/>
        <v>75925772.200000003</v>
      </c>
      <c r="L33" s="22">
        <f>L17+L29</f>
        <v>83085960.25999999</v>
      </c>
      <c r="M33" s="22">
        <f t="shared" si="45"/>
        <v>93483144.050000012</v>
      </c>
      <c r="N33" s="22">
        <f t="shared" si="45"/>
        <v>72139359.290000007</v>
      </c>
      <c r="O33" s="22">
        <f>O17+O29</f>
        <v>82475060.810000002</v>
      </c>
      <c r="P33" s="22">
        <f t="shared" si="45"/>
        <v>86145673.439999998</v>
      </c>
      <c r="Q33" s="22">
        <f t="shared" si="45"/>
        <v>67542019.50999999</v>
      </c>
      <c r="R33" s="22">
        <f>R17+R29</f>
        <v>84719787.340000004</v>
      </c>
      <c r="S33" s="22">
        <f t="shared" si="45"/>
        <v>81565141.590000004</v>
      </c>
      <c r="T33" s="22">
        <f t="shared" si="45"/>
        <v>0</v>
      </c>
      <c r="U33" s="22">
        <f>U17+U29</f>
        <v>81664675.420000002</v>
      </c>
      <c r="V33" s="22">
        <f t="shared" si="45"/>
        <v>76557959.570000008</v>
      </c>
      <c r="W33" s="22">
        <f t="shared" si="45"/>
        <v>0</v>
      </c>
      <c r="X33" s="22">
        <f>X17+X29</f>
        <v>82370970.400000006</v>
      </c>
      <c r="Y33" s="22">
        <f t="shared" si="45"/>
        <v>77084602.909999996</v>
      </c>
      <c r="Z33" s="22">
        <f t="shared" si="45"/>
        <v>0</v>
      </c>
      <c r="AA33" s="22">
        <f>AA17+AA29</f>
        <v>83884155.960000008</v>
      </c>
      <c r="AB33" s="22">
        <f t="shared" si="45"/>
        <v>80857678.810000002</v>
      </c>
      <c r="AC33" s="22">
        <f t="shared" si="45"/>
        <v>0</v>
      </c>
      <c r="AD33" s="22">
        <f>AD17+AD29</f>
        <v>82280042.800000012</v>
      </c>
      <c r="AE33" s="22">
        <f t="shared" si="45"/>
        <v>-52778633.730000004</v>
      </c>
      <c r="AF33" s="22">
        <f t="shared" si="45"/>
        <v>0</v>
      </c>
      <c r="AG33" s="22">
        <f>AG17+AG29</f>
        <v>86427310.030000001</v>
      </c>
      <c r="AH33" s="22">
        <f t="shared" si="45"/>
        <v>70099518.060000002</v>
      </c>
      <c r="AI33" s="22">
        <f t="shared" si="45"/>
        <v>0</v>
      </c>
      <c r="AJ33" s="22">
        <f>AJ17+AJ29</f>
        <v>89910858.989999995</v>
      </c>
      <c r="AK33" s="22">
        <f t="shared" si="45"/>
        <v>71847837.280000001</v>
      </c>
      <c r="AL33" s="22">
        <f t="shared" si="45"/>
        <v>0</v>
      </c>
      <c r="AM33" s="22">
        <f>AM17+AM29</f>
        <v>1006572337.02</v>
      </c>
      <c r="AN33" s="22">
        <f>AN17+AN29</f>
        <v>867920817.30999994</v>
      </c>
      <c r="AO33" s="22">
        <f>AO17+AO29</f>
        <v>592436172.40999985</v>
      </c>
    </row>
    <row r="34" spans="1:41" s="24" customFormat="1" thickBot="1" x14ac:dyDescent="0.25">
      <c r="A34" s="34"/>
      <c r="B34" s="32" t="s">
        <v>8</v>
      </c>
      <c r="C34" s="22">
        <f>C33*0.8</f>
        <v>66600937.336000003</v>
      </c>
      <c r="D34" s="27">
        <f>D33*0.75</f>
        <v>70500274.664999992</v>
      </c>
      <c r="E34" s="27">
        <f t="shared" ref="E34:AL34" si="46">E33*0.75</f>
        <v>53664233.505000003</v>
      </c>
      <c r="F34" s="27">
        <f>F33*0.8</f>
        <v>66600937.336000003</v>
      </c>
      <c r="G34" s="27">
        <f t="shared" si="46"/>
        <v>70808456.474999994</v>
      </c>
      <c r="H34" s="27">
        <f t="shared" si="46"/>
        <v>56778299.414999999</v>
      </c>
      <c r="I34" s="27">
        <f>I33*0.8</f>
        <v>66600937.336000003</v>
      </c>
      <c r="J34" s="27">
        <f t="shared" si="46"/>
        <v>70984690.357500002</v>
      </c>
      <c r="K34" s="27">
        <f t="shared" si="46"/>
        <v>56944329.150000006</v>
      </c>
      <c r="L34" s="27">
        <f>L33*0.8</f>
        <v>66468768.207999997</v>
      </c>
      <c r="M34" s="27">
        <f t="shared" si="46"/>
        <v>70112358.037500009</v>
      </c>
      <c r="N34" s="27">
        <f t="shared" si="46"/>
        <v>54104519.467500001</v>
      </c>
      <c r="O34" s="27">
        <f>O33*0.8</f>
        <v>65980048.648000002</v>
      </c>
      <c r="P34" s="27">
        <f t="shared" si="46"/>
        <v>64609255.079999998</v>
      </c>
      <c r="Q34" s="27">
        <f t="shared" si="46"/>
        <v>50656514.632499993</v>
      </c>
      <c r="R34" s="27">
        <f>R33*0.8</f>
        <v>67775829.872000009</v>
      </c>
      <c r="S34" s="27">
        <f t="shared" si="46"/>
        <v>61173856.192500003</v>
      </c>
      <c r="T34" s="27">
        <f t="shared" si="46"/>
        <v>0</v>
      </c>
      <c r="U34" s="27">
        <f>U33*0.8</f>
        <v>65331740.336000003</v>
      </c>
      <c r="V34" s="27">
        <f t="shared" si="46"/>
        <v>57418469.67750001</v>
      </c>
      <c r="W34" s="27">
        <f t="shared" si="46"/>
        <v>0</v>
      </c>
      <c r="X34" s="27">
        <f>X33*0.8</f>
        <v>65896776.320000008</v>
      </c>
      <c r="Y34" s="27">
        <f t="shared" si="46"/>
        <v>57813452.182499997</v>
      </c>
      <c r="Z34" s="27">
        <f t="shared" si="46"/>
        <v>0</v>
      </c>
      <c r="AA34" s="27">
        <f>AA33*0.8</f>
        <v>67107324.768000007</v>
      </c>
      <c r="AB34" s="27">
        <f t="shared" si="46"/>
        <v>60643259.107500002</v>
      </c>
      <c r="AC34" s="27">
        <f t="shared" si="46"/>
        <v>0</v>
      </c>
      <c r="AD34" s="27">
        <f>AD33*0.8</f>
        <v>65824034.24000001</v>
      </c>
      <c r="AE34" s="27">
        <f t="shared" si="46"/>
        <v>-39583975.297499999</v>
      </c>
      <c r="AF34" s="27">
        <f t="shared" si="46"/>
        <v>0</v>
      </c>
      <c r="AG34" s="27">
        <f>AG33*0.8</f>
        <v>69141848.024000004</v>
      </c>
      <c r="AH34" s="27">
        <f t="shared" si="46"/>
        <v>52574638.545000002</v>
      </c>
      <c r="AI34" s="27">
        <f t="shared" si="46"/>
        <v>0</v>
      </c>
      <c r="AJ34" s="27">
        <f>AJ33*0.8</f>
        <v>71928687.192000002</v>
      </c>
      <c r="AK34" s="27">
        <f t="shared" si="46"/>
        <v>53885877.960000001</v>
      </c>
      <c r="AL34" s="27">
        <f t="shared" si="46"/>
        <v>0</v>
      </c>
      <c r="AM34" s="27">
        <f>AM33*0.8</f>
        <v>805257869.61600006</v>
      </c>
      <c r="AN34" s="27">
        <f>AN33*0.75</f>
        <v>650940612.98249996</v>
      </c>
      <c r="AO34" s="27">
        <f t="shared" ref="AO34" si="47">AO33*0.75</f>
        <v>444327129.30749989</v>
      </c>
    </row>
    <row r="35" spans="1:41" x14ac:dyDescent="0.25">
      <c r="P35" s="44"/>
      <c r="Q35" s="44"/>
      <c r="R35" s="44"/>
      <c r="S35" s="44"/>
      <c r="V35" s="44"/>
      <c r="W35" s="44"/>
      <c r="X35" s="44"/>
      <c r="Y35" s="44"/>
      <c r="Z35" s="44"/>
      <c r="AA35" s="44"/>
      <c r="AB35" s="69"/>
      <c r="AC35" s="69"/>
      <c r="AD35" s="69"/>
      <c r="AH35" s="44"/>
      <c r="AI35" s="44"/>
      <c r="AJ35" s="44"/>
      <c r="AK35" s="44"/>
      <c r="AL35" s="44"/>
      <c r="AM35" s="44"/>
      <c r="AN35" s="44"/>
    </row>
    <row r="36" spans="1:41" x14ac:dyDescent="0.25">
      <c r="P36" s="44"/>
      <c r="Q36" s="44"/>
      <c r="R36" s="44"/>
      <c r="S36" s="44"/>
      <c r="V36" s="44"/>
      <c r="W36" s="44"/>
      <c r="X36" s="44"/>
      <c r="Y36" s="44"/>
      <c r="Z36" s="44"/>
      <c r="AA36" s="44"/>
      <c r="AB36" s="69"/>
      <c r="AC36" s="69"/>
      <c r="AD36" s="69"/>
      <c r="AH36" s="44"/>
      <c r="AI36" s="44"/>
      <c r="AJ36" s="44"/>
      <c r="AK36" s="44"/>
      <c r="AL36" s="44"/>
      <c r="AM36" s="44"/>
      <c r="AN36" s="44"/>
    </row>
    <row r="37" spans="1:41" x14ac:dyDescent="0.25">
      <c r="N37" s="58" t="s">
        <v>32</v>
      </c>
      <c r="O37" s="58"/>
      <c r="P37" s="58"/>
      <c r="Q37" s="58"/>
      <c r="R37" s="58"/>
      <c r="S37" s="58"/>
      <c r="T37" s="58"/>
      <c r="U37" s="58"/>
      <c r="V37" s="44"/>
      <c r="W37" s="44"/>
      <c r="X37" s="44"/>
      <c r="Y37" s="44"/>
      <c r="Z37" s="44"/>
      <c r="AA37" s="44"/>
      <c r="AB37" s="69"/>
      <c r="AC37" s="69"/>
      <c r="AD37" s="69"/>
      <c r="AH37" s="44"/>
      <c r="AI37" s="44"/>
      <c r="AJ37" s="44"/>
      <c r="AK37" s="44"/>
      <c r="AL37" s="44"/>
      <c r="AM37" s="44"/>
      <c r="AN37" s="44"/>
    </row>
    <row r="38" spans="1:41" x14ac:dyDescent="0.25">
      <c r="N38" s="60"/>
      <c r="O38" s="60"/>
      <c r="P38" s="60"/>
      <c r="Q38" s="60"/>
      <c r="R38" s="60"/>
      <c r="S38" s="60"/>
      <c r="T38" s="60"/>
      <c r="U38" s="60"/>
      <c r="V38" s="44"/>
      <c r="W38" s="44"/>
      <c r="X38" s="44"/>
      <c r="Y38" s="44"/>
      <c r="Z38" s="44"/>
      <c r="AA38" s="44"/>
      <c r="AB38" s="69"/>
      <c r="AC38" s="69"/>
      <c r="AD38" s="69"/>
      <c r="AH38" s="44"/>
      <c r="AI38" s="44"/>
      <c r="AJ38" s="44"/>
      <c r="AK38" s="44"/>
      <c r="AL38" s="44"/>
      <c r="AM38" s="44"/>
      <c r="AN38" s="44"/>
    </row>
    <row r="39" spans="1:41" x14ac:dyDescent="0.25">
      <c r="N39" s="60"/>
      <c r="O39" s="60"/>
      <c r="P39" s="60"/>
      <c r="Q39" s="60"/>
      <c r="R39" s="60"/>
      <c r="S39" s="60"/>
      <c r="T39" s="60"/>
      <c r="U39" s="60"/>
      <c r="V39" s="44"/>
      <c r="W39" s="44"/>
      <c r="X39" s="44"/>
      <c r="Y39" s="44"/>
      <c r="Z39" s="44"/>
      <c r="AA39" s="44"/>
      <c r="AB39" s="69"/>
      <c r="AC39" s="69"/>
      <c r="AD39" s="69"/>
      <c r="AH39" s="44"/>
      <c r="AI39" s="44"/>
      <c r="AJ39" s="44"/>
      <c r="AK39" s="44"/>
      <c r="AL39" s="44"/>
      <c r="AM39" s="44"/>
      <c r="AN39" s="44"/>
    </row>
    <row r="40" spans="1:41" x14ac:dyDescent="0.25">
      <c r="N40" s="72" t="s">
        <v>33</v>
      </c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44"/>
      <c r="Z40" s="44"/>
      <c r="AA40" s="44"/>
      <c r="AB40" s="69"/>
      <c r="AC40" s="69"/>
      <c r="AD40" s="69"/>
      <c r="AH40" s="44"/>
      <c r="AI40" s="44"/>
      <c r="AJ40" s="44"/>
      <c r="AK40" s="44"/>
      <c r="AL40" s="44"/>
      <c r="AM40" s="44"/>
      <c r="AN40" s="44"/>
    </row>
    <row r="41" spans="1:41" x14ac:dyDescent="0.25">
      <c r="N41" s="72" t="s">
        <v>54</v>
      </c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44"/>
      <c r="Z41" s="44"/>
      <c r="AA41" s="44"/>
      <c r="AB41" s="69"/>
      <c r="AC41" s="69"/>
      <c r="AD41" s="69"/>
      <c r="AH41" s="44"/>
      <c r="AI41" s="44"/>
      <c r="AJ41" s="44"/>
      <c r="AK41" s="44"/>
      <c r="AL41" s="44"/>
      <c r="AM41" s="44"/>
      <c r="AN41" s="44"/>
    </row>
    <row r="42" spans="1:41" x14ac:dyDescent="0.25">
      <c r="N42" s="76"/>
      <c r="O42" s="76"/>
      <c r="P42" s="44"/>
      <c r="Q42" s="44"/>
      <c r="R42" s="44"/>
      <c r="S42" s="44"/>
      <c r="V42" s="44"/>
      <c r="W42" s="44"/>
      <c r="X42" s="44"/>
      <c r="Y42" s="44"/>
      <c r="Z42" s="44"/>
      <c r="AA42" s="44"/>
      <c r="AB42" s="69"/>
      <c r="AC42" s="69"/>
      <c r="AD42" s="69"/>
      <c r="AH42" s="44"/>
      <c r="AI42" s="44"/>
      <c r="AJ42" s="44"/>
      <c r="AK42" s="44"/>
      <c r="AL42" s="44"/>
      <c r="AM42" s="44"/>
      <c r="AN42" s="44"/>
    </row>
    <row r="43" spans="1:41" x14ac:dyDescent="0.25">
      <c r="P43" s="44"/>
      <c r="Q43" s="44"/>
      <c r="R43" s="44"/>
      <c r="S43" s="44"/>
      <c r="V43" s="44"/>
      <c r="W43" s="44"/>
      <c r="X43" s="44"/>
      <c r="Y43" s="44"/>
      <c r="Z43" s="44"/>
      <c r="AA43" s="44"/>
      <c r="AB43" s="69"/>
      <c r="AC43" s="69"/>
      <c r="AD43" s="69"/>
      <c r="AH43" s="44"/>
      <c r="AI43" s="44"/>
      <c r="AJ43" s="44"/>
      <c r="AK43" s="44"/>
      <c r="AL43" s="44"/>
      <c r="AM43" s="44"/>
      <c r="AN43" s="44"/>
    </row>
    <row r="44" spans="1:41" x14ac:dyDescent="0.25">
      <c r="P44" s="44"/>
      <c r="Q44" s="44"/>
      <c r="R44" s="44"/>
      <c r="S44" s="44"/>
      <c r="V44" s="44"/>
      <c r="W44" s="44"/>
      <c r="X44" s="44"/>
      <c r="Y44" s="44"/>
      <c r="Z44" s="44"/>
      <c r="AA44" s="44"/>
      <c r="AB44" s="69"/>
      <c r="AC44" s="69"/>
      <c r="AD44" s="69"/>
      <c r="AH44" s="44"/>
      <c r="AI44" s="44"/>
      <c r="AJ44" s="44"/>
      <c r="AK44" s="44"/>
      <c r="AL44" s="44"/>
      <c r="AM44" s="44"/>
      <c r="AN44" s="44"/>
    </row>
    <row r="45" spans="1:41" x14ac:dyDescent="0.25">
      <c r="P45" s="44"/>
      <c r="Q45" s="44"/>
      <c r="R45" s="44"/>
      <c r="S45" s="44"/>
      <c r="V45" s="44"/>
      <c r="W45" s="44"/>
      <c r="X45" s="44"/>
      <c r="Y45" s="44"/>
      <c r="Z45" s="44"/>
      <c r="AA45" s="44"/>
      <c r="AB45" s="69"/>
      <c r="AC45" s="69"/>
      <c r="AD45" s="69"/>
      <c r="AH45" s="44"/>
      <c r="AI45" s="44"/>
      <c r="AJ45" s="44"/>
      <c r="AK45" s="44"/>
      <c r="AL45" s="44"/>
      <c r="AM45" s="44"/>
      <c r="AN45" s="44"/>
    </row>
    <row r="46" spans="1:41" x14ac:dyDescent="0.25">
      <c r="P46" s="44"/>
      <c r="Q46" s="44"/>
      <c r="R46" s="44"/>
      <c r="S46" s="44"/>
      <c r="V46" s="44"/>
      <c r="W46" s="44"/>
      <c r="X46" s="44"/>
      <c r="Y46" s="44"/>
      <c r="Z46" s="44"/>
      <c r="AA46" s="44"/>
      <c r="AB46" s="69"/>
      <c r="AC46" s="69"/>
      <c r="AD46" s="69"/>
      <c r="AH46" s="44"/>
      <c r="AI46" s="44"/>
      <c r="AJ46" s="44"/>
      <c r="AK46" s="44"/>
      <c r="AL46" s="44"/>
      <c r="AM46" s="44"/>
      <c r="AN46" s="44"/>
    </row>
    <row r="47" spans="1:41" x14ac:dyDescent="0.25">
      <c r="P47" s="44"/>
      <c r="Q47" s="44"/>
      <c r="R47" s="44"/>
      <c r="S47" s="44"/>
      <c r="V47" s="44"/>
      <c r="W47" s="44"/>
      <c r="X47" s="44"/>
      <c r="Y47" s="44"/>
      <c r="Z47" s="44"/>
      <c r="AA47" s="44"/>
      <c r="AB47" s="69"/>
      <c r="AC47" s="69"/>
      <c r="AD47" s="69"/>
      <c r="AH47" s="44"/>
      <c r="AI47" s="44"/>
      <c r="AJ47" s="44"/>
      <c r="AK47" s="44"/>
      <c r="AL47" s="44"/>
      <c r="AM47" s="44"/>
      <c r="AN47" s="44"/>
    </row>
    <row r="48" spans="1:41" x14ac:dyDescent="0.25">
      <c r="P48" s="44"/>
      <c r="Q48" s="44"/>
      <c r="R48" s="44"/>
      <c r="S48" s="44"/>
      <c r="V48" s="44"/>
      <c r="W48" s="44"/>
      <c r="X48" s="44"/>
      <c r="Y48" s="44"/>
      <c r="Z48" s="44"/>
      <c r="AA48" s="44"/>
      <c r="AB48" s="69"/>
      <c r="AC48" s="69"/>
      <c r="AD48" s="69"/>
      <c r="AH48" s="44"/>
      <c r="AI48" s="44"/>
      <c r="AJ48" s="44"/>
      <c r="AK48" s="44"/>
      <c r="AL48" s="44"/>
      <c r="AM48" s="44"/>
      <c r="AN48" s="44"/>
    </row>
    <row r="49" spans="16:40" x14ac:dyDescent="0.25">
      <c r="P49" s="44"/>
      <c r="Q49" s="44"/>
      <c r="R49" s="44"/>
      <c r="S49" s="44"/>
      <c r="V49" s="44"/>
      <c r="W49" s="44"/>
      <c r="X49" s="44"/>
      <c r="Y49" s="44"/>
      <c r="Z49" s="44"/>
      <c r="AA49" s="44"/>
      <c r="AB49" s="69"/>
      <c r="AC49" s="69"/>
      <c r="AD49" s="69"/>
      <c r="AH49" s="44"/>
      <c r="AI49" s="44"/>
      <c r="AJ49" s="44"/>
      <c r="AK49" s="44"/>
      <c r="AL49" s="44"/>
      <c r="AM49" s="44"/>
      <c r="AN49" s="44"/>
    </row>
    <row r="50" spans="16:40" x14ac:dyDescent="0.25">
      <c r="P50" s="44"/>
      <c r="Q50" s="44"/>
      <c r="R50" s="44"/>
      <c r="S50" s="44"/>
      <c r="V50" s="44"/>
      <c r="W50" s="44"/>
      <c r="X50" s="44"/>
      <c r="Y50" s="44"/>
      <c r="Z50" s="44"/>
      <c r="AA50" s="44"/>
      <c r="AB50" s="69"/>
      <c r="AC50" s="69"/>
      <c r="AD50" s="69"/>
      <c r="AH50" s="44"/>
      <c r="AI50" s="44"/>
      <c r="AJ50" s="44"/>
      <c r="AK50" s="44"/>
      <c r="AL50" s="44"/>
      <c r="AM50" s="44"/>
      <c r="AN50" s="44"/>
    </row>
    <row r="51" spans="16:40" x14ac:dyDescent="0.25">
      <c r="P51" s="44"/>
      <c r="Q51" s="44"/>
      <c r="R51" s="44"/>
      <c r="S51" s="44"/>
      <c r="V51" s="44"/>
      <c r="W51" s="44"/>
      <c r="X51" s="44"/>
      <c r="Y51" s="44"/>
      <c r="Z51" s="44"/>
      <c r="AA51" s="44"/>
      <c r="AB51" s="69"/>
      <c r="AC51" s="69"/>
      <c r="AD51" s="69"/>
      <c r="AH51" s="44"/>
      <c r="AI51" s="44"/>
      <c r="AJ51" s="44"/>
      <c r="AK51" s="44"/>
      <c r="AL51" s="44"/>
      <c r="AM51" s="44"/>
      <c r="AN51" s="44"/>
    </row>
    <row r="52" spans="16:40" x14ac:dyDescent="0.25">
      <c r="P52" s="44"/>
      <c r="Q52" s="44"/>
      <c r="R52" s="44"/>
      <c r="S52" s="44"/>
      <c r="V52" s="44"/>
      <c r="W52" s="44"/>
      <c r="X52" s="44"/>
      <c r="Y52" s="44"/>
      <c r="Z52" s="44"/>
      <c r="AA52" s="44"/>
      <c r="AB52" s="69"/>
      <c r="AC52" s="69"/>
      <c r="AD52" s="69"/>
      <c r="AH52" s="44"/>
      <c r="AI52" s="44"/>
      <c r="AJ52" s="44"/>
      <c r="AK52" s="44"/>
      <c r="AL52" s="44"/>
      <c r="AM52" s="44"/>
      <c r="AN52" s="44"/>
    </row>
    <row r="53" spans="16:40" x14ac:dyDescent="0.25">
      <c r="P53" s="44"/>
      <c r="Q53" s="44"/>
      <c r="R53" s="44"/>
      <c r="S53" s="44"/>
      <c r="V53" s="44"/>
      <c r="W53" s="44"/>
      <c r="X53" s="44"/>
      <c r="Y53" s="44"/>
      <c r="Z53" s="44"/>
      <c r="AA53" s="44"/>
      <c r="AB53" s="69"/>
      <c r="AC53" s="69"/>
      <c r="AD53" s="69"/>
      <c r="AH53" s="44"/>
      <c r="AI53" s="44"/>
      <c r="AJ53" s="44"/>
      <c r="AK53" s="44"/>
      <c r="AL53" s="44"/>
      <c r="AM53" s="44"/>
      <c r="AN53" s="44"/>
    </row>
    <row r="54" spans="16:40" x14ac:dyDescent="0.25">
      <c r="P54" s="44"/>
      <c r="Q54" s="44"/>
      <c r="R54" s="44"/>
      <c r="S54" s="44"/>
      <c r="V54" s="44"/>
      <c r="W54" s="44"/>
      <c r="X54" s="44"/>
      <c r="Y54" s="44"/>
      <c r="Z54" s="44"/>
      <c r="AA54" s="44"/>
      <c r="AB54" s="69"/>
      <c r="AC54" s="69"/>
      <c r="AD54" s="69"/>
      <c r="AH54" s="44"/>
      <c r="AI54" s="44"/>
      <c r="AJ54" s="44"/>
      <c r="AK54" s="44"/>
      <c r="AL54" s="44"/>
      <c r="AM54" s="44"/>
      <c r="AN54" s="44"/>
    </row>
    <row r="55" spans="16:40" x14ac:dyDescent="0.25">
      <c r="P55" s="44"/>
      <c r="Q55" s="44"/>
      <c r="R55" s="44"/>
      <c r="S55" s="44"/>
      <c r="V55" s="44"/>
      <c r="W55" s="44"/>
      <c r="X55" s="44"/>
      <c r="Y55" s="44"/>
      <c r="Z55" s="44"/>
      <c r="AA55" s="44"/>
      <c r="AB55" s="69"/>
      <c r="AC55" s="69"/>
      <c r="AD55" s="69"/>
      <c r="AH55" s="44"/>
      <c r="AI55" s="44"/>
      <c r="AJ55" s="44"/>
      <c r="AK55" s="44"/>
      <c r="AL55" s="44"/>
      <c r="AM55" s="44"/>
      <c r="AN55" s="44"/>
    </row>
    <row r="56" spans="16:40" x14ac:dyDescent="0.25">
      <c r="P56" s="44"/>
      <c r="Q56" s="44"/>
      <c r="R56" s="44"/>
      <c r="S56" s="44"/>
      <c r="V56" s="44"/>
      <c r="W56" s="44"/>
      <c r="X56" s="44"/>
      <c r="Y56" s="44"/>
      <c r="Z56" s="44"/>
      <c r="AA56" s="44"/>
      <c r="AB56" s="69"/>
      <c r="AC56" s="69"/>
      <c r="AD56" s="69"/>
      <c r="AH56" s="44"/>
      <c r="AI56" s="44"/>
      <c r="AJ56" s="44"/>
      <c r="AK56" s="44"/>
      <c r="AL56" s="44"/>
      <c r="AM56" s="44"/>
      <c r="AN56" s="44"/>
    </row>
    <row r="57" spans="16:40" x14ac:dyDescent="0.25">
      <c r="P57" s="44"/>
      <c r="Q57" s="44"/>
      <c r="R57" s="44"/>
      <c r="S57" s="44"/>
      <c r="V57" s="44"/>
      <c r="W57" s="44"/>
      <c r="X57" s="44"/>
      <c r="Y57" s="44"/>
      <c r="Z57" s="44"/>
      <c r="AA57" s="44"/>
      <c r="AB57" s="69"/>
      <c r="AC57" s="69"/>
      <c r="AD57" s="69"/>
      <c r="AH57" s="44"/>
      <c r="AI57" s="44"/>
      <c r="AJ57" s="44"/>
      <c r="AK57" s="44"/>
      <c r="AL57" s="44"/>
      <c r="AM57" s="44"/>
      <c r="AN57" s="44"/>
    </row>
    <row r="58" spans="16:40" x14ac:dyDescent="0.25">
      <c r="P58" s="44"/>
      <c r="Q58" s="44"/>
      <c r="R58" s="44"/>
      <c r="S58" s="44"/>
      <c r="V58" s="44"/>
      <c r="W58" s="44"/>
      <c r="X58" s="44"/>
      <c r="Y58" s="44"/>
      <c r="Z58" s="44"/>
      <c r="AA58" s="44"/>
      <c r="AB58" s="69"/>
      <c r="AC58" s="69"/>
      <c r="AD58" s="69"/>
      <c r="AH58" s="44"/>
      <c r="AI58" s="44"/>
      <c r="AJ58" s="44"/>
      <c r="AK58" s="44"/>
      <c r="AL58" s="44"/>
      <c r="AM58" s="44"/>
      <c r="AN58" s="44"/>
    </row>
    <row r="59" spans="16:40" x14ac:dyDescent="0.25">
      <c r="P59" s="44"/>
      <c r="Q59" s="44"/>
      <c r="R59" s="44"/>
      <c r="S59" s="44"/>
      <c r="V59" s="44"/>
      <c r="W59" s="44"/>
      <c r="X59" s="44"/>
      <c r="Y59" s="44"/>
      <c r="Z59" s="44"/>
      <c r="AA59" s="44"/>
      <c r="AB59" s="69"/>
      <c r="AC59" s="69"/>
      <c r="AD59" s="69"/>
      <c r="AH59" s="44"/>
      <c r="AI59" s="44"/>
      <c r="AJ59" s="44"/>
      <c r="AK59" s="44"/>
      <c r="AL59" s="44"/>
      <c r="AM59" s="44"/>
      <c r="AN59" s="44"/>
    </row>
    <row r="60" spans="16:40" x14ac:dyDescent="0.25">
      <c r="P60" s="44"/>
      <c r="Q60" s="44"/>
      <c r="R60" s="44"/>
      <c r="S60" s="44"/>
      <c r="V60" s="44"/>
      <c r="W60" s="44"/>
      <c r="X60" s="44"/>
      <c r="Y60" s="44"/>
      <c r="Z60" s="44"/>
      <c r="AA60" s="44"/>
      <c r="AB60" s="69"/>
      <c r="AC60" s="69"/>
      <c r="AD60" s="69"/>
      <c r="AH60" s="44"/>
      <c r="AI60" s="44"/>
      <c r="AJ60" s="44"/>
      <c r="AK60" s="44"/>
      <c r="AL60" s="44"/>
      <c r="AM60" s="44"/>
      <c r="AN60" s="44"/>
    </row>
    <row r="61" spans="16:40" x14ac:dyDescent="0.25">
      <c r="P61" s="44"/>
      <c r="Q61" s="44"/>
      <c r="R61" s="44"/>
      <c r="S61" s="44"/>
      <c r="V61" s="44"/>
      <c r="W61" s="44"/>
      <c r="X61" s="44"/>
      <c r="Y61" s="44"/>
      <c r="Z61" s="44"/>
      <c r="AA61" s="44"/>
      <c r="AB61" s="69"/>
      <c r="AC61" s="69"/>
      <c r="AD61" s="69"/>
      <c r="AH61" s="44"/>
      <c r="AI61" s="44"/>
      <c r="AJ61" s="44"/>
      <c r="AK61" s="44"/>
      <c r="AL61" s="44"/>
      <c r="AM61" s="44"/>
      <c r="AN61" s="44"/>
    </row>
    <row r="62" spans="16:40" x14ac:dyDescent="0.25">
      <c r="P62" s="44"/>
      <c r="Q62" s="44"/>
      <c r="R62" s="44"/>
      <c r="S62" s="44"/>
      <c r="V62" s="44"/>
      <c r="W62" s="44"/>
      <c r="X62" s="44"/>
      <c r="Y62" s="44"/>
      <c r="Z62" s="44"/>
      <c r="AA62" s="44"/>
      <c r="AB62" s="69"/>
      <c r="AC62" s="69"/>
      <c r="AD62" s="69"/>
      <c r="AH62" s="44"/>
      <c r="AI62" s="44"/>
      <c r="AJ62" s="44"/>
      <c r="AK62" s="44"/>
      <c r="AL62" s="44"/>
      <c r="AM62" s="44"/>
      <c r="AN62" s="44"/>
    </row>
    <row r="63" spans="16:40" x14ac:dyDescent="0.25">
      <c r="P63" s="44"/>
      <c r="Q63" s="44"/>
      <c r="R63" s="44"/>
      <c r="S63" s="44"/>
      <c r="V63" s="44"/>
      <c r="W63" s="44"/>
      <c r="X63" s="44"/>
      <c r="Y63" s="44"/>
      <c r="Z63" s="44"/>
      <c r="AA63" s="44"/>
      <c r="AB63" s="69"/>
      <c r="AC63" s="69"/>
      <c r="AD63" s="69"/>
      <c r="AH63" s="44"/>
      <c r="AI63" s="44"/>
      <c r="AJ63" s="44"/>
      <c r="AK63" s="44"/>
      <c r="AL63" s="44"/>
      <c r="AM63" s="44"/>
      <c r="AN63" s="44"/>
    </row>
    <row r="64" spans="16:40" x14ac:dyDescent="0.25">
      <c r="P64" s="44"/>
      <c r="Q64" s="44"/>
      <c r="R64" s="44"/>
      <c r="S64" s="44"/>
      <c r="V64" s="44"/>
      <c r="W64" s="44"/>
      <c r="X64" s="44"/>
      <c r="Y64" s="44"/>
      <c r="Z64" s="44"/>
      <c r="AA64" s="44"/>
      <c r="AB64" s="69"/>
      <c r="AC64" s="69"/>
      <c r="AD64" s="69"/>
      <c r="AH64" s="44"/>
      <c r="AI64" s="44"/>
      <c r="AJ64" s="44"/>
      <c r="AK64" s="44"/>
      <c r="AL64" s="44"/>
      <c r="AM64" s="44"/>
      <c r="AN64" s="44"/>
    </row>
    <row r="65" spans="16:40" x14ac:dyDescent="0.25">
      <c r="P65" s="44"/>
      <c r="Q65" s="44"/>
      <c r="R65" s="44"/>
      <c r="S65" s="44"/>
      <c r="V65" s="44"/>
      <c r="W65" s="44"/>
      <c r="X65" s="44"/>
      <c r="Y65" s="44"/>
      <c r="Z65" s="44"/>
      <c r="AA65" s="44"/>
      <c r="AB65" s="69"/>
      <c r="AC65" s="69"/>
      <c r="AD65" s="69"/>
      <c r="AH65" s="44"/>
      <c r="AI65" s="44"/>
      <c r="AJ65" s="44"/>
      <c r="AK65" s="44"/>
      <c r="AL65" s="44"/>
      <c r="AM65" s="44"/>
      <c r="AN65" s="44"/>
    </row>
    <row r="66" spans="16:40" x14ac:dyDescent="0.25">
      <c r="P66" s="44"/>
      <c r="Q66" s="44"/>
      <c r="R66" s="44"/>
      <c r="S66" s="44"/>
      <c r="V66" s="44"/>
      <c r="W66" s="44"/>
      <c r="X66" s="44"/>
      <c r="Y66" s="44"/>
      <c r="Z66" s="44"/>
      <c r="AA66" s="44"/>
      <c r="AB66" s="69"/>
      <c r="AC66" s="69"/>
      <c r="AD66" s="69"/>
      <c r="AH66" s="44"/>
      <c r="AI66" s="44"/>
      <c r="AJ66" s="44"/>
      <c r="AK66" s="44"/>
      <c r="AL66" s="44"/>
      <c r="AM66" s="44"/>
      <c r="AN66" s="44"/>
    </row>
    <row r="67" spans="16:40" x14ac:dyDescent="0.25">
      <c r="P67" s="44"/>
      <c r="Q67" s="44"/>
      <c r="R67" s="44"/>
      <c r="S67" s="44"/>
      <c r="V67" s="44"/>
      <c r="W67" s="44"/>
      <c r="X67" s="44"/>
      <c r="Y67" s="44"/>
      <c r="Z67" s="44"/>
      <c r="AA67" s="44"/>
      <c r="AB67" s="69"/>
      <c r="AC67" s="69"/>
      <c r="AD67" s="69"/>
      <c r="AH67" s="44"/>
      <c r="AI67" s="44"/>
      <c r="AJ67" s="44"/>
      <c r="AK67" s="44"/>
      <c r="AL67" s="44"/>
      <c r="AM67" s="44"/>
      <c r="AN67" s="44"/>
    </row>
    <row r="68" spans="16:40" x14ac:dyDescent="0.25">
      <c r="P68" s="44"/>
      <c r="Q68" s="44"/>
      <c r="R68" s="44"/>
      <c r="S68" s="44"/>
      <c r="V68" s="44"/>
      <c r="W68" s="44"/>
      <c r="X68" s="44"/>
      <c r="Y68" s="44"/>
      <c r="Z68" s="44"/>
      <c r="AA68" s="44"/>
      <c r="AB68" s="69"/>
      <c r="AC68" s="69"/>
      <c r="AD68" s="69"/>
      <c r="AH68" s="44"/>
      <c r="AI68" s="44"/>
      <c r="AJ68" s="44"/>
      <c r="AK68" s="44"/>
      <c r="AL68" s="44"/>
      <c r="AM68" s="44"/>
      <c r="AN68" s="44"/>
    </row>
    <row r="69" spans="16:40" x14ac:dyDescent="0.25">
      <c r="P69" s="44"/>
      <c r="Q69" s="44"/>
      <c r="R69" s="44"/>
      <c r="S69" s="44"/>
      <c r="V69" s="44"/>
      <c r="W69" s="44"/>
      <c r="X69" s="44"/>
      <c r="Y69" s="44"/>
      <c r="Z69" s="44"/>
      <c r="AA69" s="44"/>
      <c r="AB69" s="69"/>
      <c r="AC69" s="69"/>
      <c r="AD69" s="69"/>
      <c r="AH69" s="44"/>
      <c r="AI69" s="44"/>
      <c r="AJ69" s="44"/>
      <c r="AK69" s="44"/>
      <c r="AL69" s="44"/>
      <c r="AM69" s="44"/>
      <c r="AN69" s="44"/>
    </row>
    <row r="70" spans="16:40" x14ac:dyDescent="0.25">
      <c r="P70" s="44"/>
      <c r="Q70" s="44"/>
      <c r="R70" s="44"/>
      <c r="S70" s="44"/>
      <c r="V70" s="44"/>
      <c r="W70" s="44"/>
      <c r="X70" s="44"/>
      <c r="Y70" s="44"/>
      <c r="Z70" s="44"/>
      <c r="AA70" s="44"/>
      <c r="AB70" s="69"/>
      <c r="AC70" s="69"/>
      <c r="AD70" s="69"/>
      <c r="AH70" s="44"/>
      <c r="AI70" s="44"/>
      <c r="AJ70" s="44"/>
      <c r="AK70" s="44"/>
      <c r="AL70" s="44"/>
      <c r="AM70" s="44"/>
      <c r="AN70" s="44"/>
    </row>
    <row r="71" spans="16:40" x14ac:dyDescent="0.25">
      <c r="P71" s="44"/>
      <c r="Q71" s="44"/>
      <c r="R71" s="44"/>
      <c r="S71" s="44"/>
      <c r="V71" s="44"/>
      <c r="W71" s="44"/>
      <c r="X71" s="44"/>
      <c r="Y71" s="44"/>
      <c r="Z71" s="44"/>
      <c r="AA71" s="44"/>
      <c r="AB71" s="69"/>
      <c r="AC71" s="69"/>
      <c r="AD71" s="69"/>
      <c r="AH71" s="44"/>
      <c r="AI71" s="44"/>
      <c r="AJ71" s="44"/>
      <c r="AK71" s="44"/>
      <c r="AL71" s="44"/>
      <c r="AM71" s="44"/>
      <c r="AN71" s="44"/>
    </row>
    <row r="72" spans="16:40" x14ac:dyDescent="0.25">
      <c r="P72" s="44"/>
      <c r="Q72" s="44"/>
      <c r="R72" s="44"/>
      <c r="S72" s="44"/>
      <c r="V72" s="44"/>
      <c r="W72" s="44"/>
      <c r="X72" s="44"/>
      <c r="Y72" s="44"/>
      <c r="Z72" s="44"/>
      <c r="AA72" s="44"/>
      <c r="AB72" s="69"/>
      <c r="AC72" s="69"/>
      <c r="AD72" s="69"/>
      <c r="AH72" s="44"/>
      <c r="AI72" s="44"/>
      <c r="AJ72" s="44"/>
      <c r="AK72" s="44"/>
      <c r="AL72" s="44"/>
      <c r="AM72" s="44"/>
      <c r="AN72" s="44"/>
    </row>
    <row r="73" spans="16:40" x14ac:dyDescent="0.25">
      <c r="P73" s="44"/>
      <c r="Q73" s="44"/>
      <c r="R73" s="44"/>
      <c r="S73" s="44"/>
      <c r="V73" s="44"/>
      <c r="W73" s="44"/>
      <c r="X73" s="44"/>
      <c r="Y73" s="44"/>
      <c r="Z73" s="44"/>
      <c r="AA73" s="44"/>
      <c r="AB73" s="69"/>
      <c r="AC73" s="69"/>
      <c r="AD73" s="69"/>
      <c r="AH73" s="44"/>
      <c r="AI73" s="44"/>
      <c r="AJ73" s="44"/>
      <c r="AK73" s="44"/>
      <c r="AL73" s="44"/>
      <c r="AM73" s="44"/>
      <c r="AN73" s="44"/>
    </row>
    <row r="74" spans="16:40" x14ac:dyDescent="0.25">
      <c r="P74" s="44"/>
      <c r="Q74" s="44"/>
      <c r="R74" s="44"/>
      <c r="S74" s="44"/>
      <c r="V74" s="44"/>
      <c r="W74" s="44"/>
      <c r="X74" s="44"/>
      <c r="Y74" s="44"/>
      <c r="Z74" s="44"/>
      <c r="AA74" s="44"/>
      <c r="AB74" s="69"/>
      <c r="AC74" s="69"/>
      <c r="AD74" s="69"/>
      <c r="AH74" s="44"/>
      <c r="AI74" s="44"/>
      <c r="AJ74" s="44"/>
      <c r="AK74" s="44"/>
      <c r="AL74" s="44"/>
      <c r="AM74" s="44"/>
      <c r="AN74" s="44"/>
    </row>
    <row r="75" spans="16:40" x14ac:dyDescent="0.25">
      <c r="P75" s="44"/>
      <c r="Q75" s="44"/>
      <c r="R75" s="44"/>
      <c r="S75" s="44"/>
      <c r="V75" s="44"/>
      <c r="W75" s="44"/>
      <c r="X75" s="44"/>
      <c r="Y75" s="44"/>
      <c r="Z75" s="44"/>
      <c r="AA75" s="44"/>
      <c r="AB75" s="69"/>
      <c r="AC75" s="69"/>
      <c r="AD75" s="69"/>
      <c r="AH75" s="44"/>
      <c r="AI75" s="44"/>
      <c r="AJ75" s="44"/>
      <c r="AK75" s="44"/>
      <c r="AL75" s="44"/>
      <c r="AM75" s="44"/>
      <c r="AN75" s="44"/>
    </row>
    <row r="76" spans="16:40" x14ac:dyDescent="0.25">
      <c r="P76" s="44"/>
      <c r="Q76" s="44"/>
      <c r="R76" s="44"/>
      <c r="S76" s="44"/>
      <c r="V76" s="44"/>
      <c r="W76" s="44"/>
      <c r="X76" s="44"/>
      <c r="Y76" s="44"/>
      <c r="Z76" s="44"/>
      <c r="AA76" s="44"/>
      <c r="AB76" s="69"/>
      <c r="AC76" s="69"/>
      <c r="AD76" s="69"/>
      <c r="AH76" s="44"/>
      <c r="AI76" s="44"/>
      <c r="AJ76" s="44"/>
      <c r="AK76" s="44"/>
      <c r="AL76" s="44"/>
      <c r="AM76" s="44"/>
      <c r="AN76" s="44"/>
    </row>
    <row r="77" spans="16:40" x14ac:dyDescent="0.25">
      <c r="P77" s="44"/>
      <c r="Q77" s="44"/>
      <c r="R77" s="44"/>
      <c r="S77" s="44"/>
      <c r="V77" s="44"/>
      <c r="W77" s="44"/>
      <c r="X77" s="44"/>
      <c r="Y77" s="44"/>
      <c r="Z77" s="44"/>
      <c r="AA77" s="44"/>
      <c r="AB77" s="69"/>
      <c r="AC77" s="69"/>
      <c r="AD77" s="69"/>
      <c r="AH77" s="44"/>
      <c r="AI77" s="44"/>
      <c r="AJ77" s="44"/>
      <c r="AK77" s="44"/>
      <c r="AL77" s="44"/>
      <c r="AM77" s="44"/>
      <c r="AN77" s="44"/>
    </row>
    <row r="78" spans="16:40" x14ac:dyDescent="0.25">
      <c r="P78" s="44"/>
      <c r="Q78" s="44"/>
      <c r="R78" s="44"/>
      <c r="S78" s="44"/>
      <c r="V78" s="44"/>
      <c r="W78" s="44"/>
      <c r="X78" s="44"/>
      <c r="Y78" s="44"/>
      <c r="Z78" s="44"/>
      <c r="AA78" s="44"/>
      <c r="AB78" s="69"/>
      <c r="AC78" s="69"/>
      <c r="AD78" s="69"/>
      <c r="AH78" s="44"/>
      <c r="AI78" s="44"/>
      <c r="AJ78" s="44"/>
      <c r="AK78" s="44"/>
      <c r="AL78" s="44"/>
      <c r="AM78" s="44"/>
      <c r="AN78" s="44"/>
    </row>
    <row r="79" spans="16:40" x14ac:dyDescent="0.25">
      <c r="P79" s="44"/>
      <c r="Q79" s="44"/>
      <c r="R79" s="44"/>
      <c r="S79" s="44"/>
      <c r="V79" s="44"/>
      <c r="W79" s="44"/>
      <c r="X79" s="44"/>
      <c r="Y79" s="44"/>
      <c r="Z79" s="44"/>
      <c r="AA79" s="44"/>
      <c r="AB79" s="69"/>
      <c r="AC79" s="69"/>
      <c r="AD79" s="69"/>
      <c r="AH79" s="44"/>
      <c r="AI79" s="44"/>
      <c r="AJ79" s="44"/>
      <c r="AK79" s="44"/>
      <c r="AL79" s="44"/>
      <c r="AM79" s="44"/>
      <c r="AN79" s="44"/>
    </row>
    <row r="80" spans="16:40" x14ac:dyDescent="0.25">
      <c r="P80" s="44"/>
      <c r="Q80" s="44"/>
      <c r="R80" s="44"/>
      <c r="S80" s="44"/>
      <c r="V80" s="44"/>
      <c r="W80" s="44"/>
      <c r="X80" s="44"/>
      <c r="Y80" s="44"/>
      <c r="Z80" s="44"/>
      <c r="AA80" s="44"/>
      <c r="AB80" s="69"/>
      <c r="AC80" s="69"/>
      <c r="AD80" s="69"/>
      <c r="AH80" s="44"/>
      <c r="AI80" s="44"/>
      <c r="AJ80" s="44"/>
      <c r="AK80" s="44"/>
      <c r="AL80" s="44"/>
      <c r="AM80" s="44"/>
      <c r="AN80" s="44"/>
    </row>
    <row r="81" spans="16:40" x14ac:dyDescent="0.25">
      <c r="P81" s="44"/>
      <c r="Q81" s="44"/>
      <c r="R81" s="44"/>
      <c r="S81" s="44"/>
      <c r="V81" s="44"/>
      <c r="W81" s="44"/>
      <c r="X81" s="44"/>
      <c r="Y81" s="44"/>
      <c r="Z81" s="44"/>
      <c r="AA81" s="44"/>
      <c r="AB81" s="69"/>
      <c r="AC81" s="69"/>
      <c r="AD81" s="69"/>
      <c r="AH81" s="44"/>
      <c r="AI81" s="44"/>
      <c r="AJ81" s="44"/>
      <c r="AK81" s="44"/>
      <c r="AL81" s="44"/>
      <c r="AM81" s="44"/>
      <c r="AN81" s="44"/>
    </row>
    <row r="82" spans="16:40" x14ac:dyDescent="0.25">
      <c r="P82" s="44"/>
      <c r="Q82" s="44"/>
      <c r="R82" s="44"/>
      <c r="S82" s="44"/>
      <c r="V82" s="44"/>
      <c r="W82" s="44"/>
      <c r="X82" s="44"/>
      <c r="Y82" s="44"/>
      <c r="Z82" s="44"/>
      <c r="AA82" s="44"/>
      <c r="AB82" s="69"/>
      <c r="AC82" s="69"/>
      <c r="AD82" s="69"/>
      <c r="AH82" s="44"/>
      <c r="AI82" s="44"/>
      <c r="AJ82" s="44"/>
      <c r="AK82" s="44"/>
      <c r="AL82" s="44"/>
      <c r="AM82" s="44"/>
      <c r="AN82" s="44"/>
    </row>
    <row r="83" spans="16:40" x14ac:dyDescent="0.25">
      <c r="P83" s="44"/>
      <c r="Q83" s="44"/>
      <c r="R83" s="44"/>
      <c r="S83" s="44"/>
      <c r="V83" s="44"/>
      <c r="W83" s="44"/>
      <c r="X83" s="44"/>
      <c r="Y83" s="44"/>
      <c r="Z83" s="44"/>
      <c r="AA83" s="44"/>
      <c r="AB83" s="69"/>
      <c r="AC83" s="69"/>
      <c r="AD83" s="69"/>
      <c r="AH83" s="44"/>
      <c r="AI83" s="44"/>
      <c r="AJ83" s="44"/>
      <c r="AK83" s="44"/>
      <c r="AL83" s="44"/>
      <c r="AM83" s="44"/>
      <c r="AN83" s="44"/>
    </row>
    <row r="84" spans="16:40" x14ac:dyDescent="0.25">
      <c r="P84" s="44"/>
      <c r="Q84" s="44"/>
      <c r="R84" s="44"/>
      <c r="S84" s="44"/>
      <c r="V84" s="44"/>
      <c r="W84" s="44"/>
      <c r="X84" s="44"/>
      <c r="Y84" s="44"/>
      <c r="Z84" s="44"/>
      <c r="AA84" s="44"/>
      <c r="AB84" s="69"/>
      <c r="AC84" s="69"/>
      <c r="AD84" s="69"/>
      <c r="AH84" s="44"/>
      <c r="AI84" s="44"/>
      <c r="AJ84" s="44"/>
      <c r="AK84" s="44"/>
      <c r="AL84" s="44"/>
      <c r="AM84" s="44"/>
      <c r="AN84" s="44"/>
    </row>
    <row r="85" spans="16:40" x14ac:dyDescent="0.25">
      <c r="P85" s="44"/>
      <c r="Q85" s="44"/>
      <c r="R85" s="44"/>
      <c r="S85" s="44"/>
      <c r="V85" s="44"/>
      <c r="W85" s="44"/>
      <c r="X85" s="44"/>
      <c r="Y85" s="44"/>
      <c r="Z85" s="44"/>
      <c r="AA85" s="44"/>
      <c r="AB85" s="69"/>
      <c r="AC85" s="69"/>
      <c r="AD85" s="69"/>
      <c r="AH85" s="44"/>
      <c r="AI85" s="44"/>
      <c r="AJ85" s="44"/>
      <c r="AK85" s="44"/>
      <c r="AL85" s="44"/>
      <c r="AM85" s="44"/>
      <c r="AN85" s="44"/>
    </row>
    <row r="86" spans="16:40" x14ac:dyDescent="0.25">
      <c r="P86" s="44"/>
      <c r="Q86" s="44"/>
      <c r="R86" s="44"/>
      <c r="S86" s="44"/>
      <c r="V86" s="44"/>
      <c r="W86" s="44"/>
      <c r="X86" s="44"/>
      <c r="Y86" s="44"/>
      <c r="Z86" s="44"/>
      <c r="AA86" s="44"/>
      <c r="AB86" s="69"/>
      <c r="AC86" s="69"/>
      <c r="AD86" s="69"/>
      <c r="AH86" s="44"/>
      <c r="AI86" s="44"/>
      <c r="AJ86" s="44"/>
      <c r="AK86" s="44"/>
      <c r="AL86" s="44"/>
      <c r="AM86" s="44"/>
      <c r="AN86" s="44"/>
    </row>
    <row r="87" spans="16:40" x14ac:dyDescent="0.25">
      <c r="P87" s="44"/>
      <c r="Q87" s="44"/>
      <c r="R87" s="44"/>
      <c r="S87" s="44"/>
      <c r="V87" s="44"/>
      <c r="W87" s="44"/>
      <c r="X87" s="44"/>
      <c r="Y87" s="44"/>
      <c r="Z87" s="44"/>
      <c r="AA87" s="44"/>
      <c r="AB87" s="69"/>
      <c r="AC87" s="69"/>
      <c r="AD87" s="69"/>
      <c r="AH87" s="44"/>
      <c r="AI87" s="44"/>
      <c r="AJ87" s="44"/>
      <c r="AK87" s="44"/>
      <c r="AL87" s="44"/>
      <c r="AM87" s="44"/>
      <c r="AN87" s="44"/>
    </row>
    <row r="88" spans="16:40" x14ac:dyDescent="0.25">
      <c r="P88" s="44"/>
      <c r="Q88" s="44"/>
      <c r="R88" s="44"/>
      <c r="S88" s="44"/>
      <c r="V88" s="44"/>
      <c r="W88" s="44"/>
      <c r="X88" s="44"/>
      <c r="Y88" s="44"/>
      <c r="Z88" s="44"/>
      <c r="AA88" s="44"/>
      <c r="AB88" s="69"/>
      <c r="AC88" s="69"/>
      <c r="AD88" s="69"/>
      <c r="AH88" s="44"/>
      <c r="AI88" s="44"/>
      <c r="AJ88" s="44"/>
      <c r="AK88" s="44"/>
      <c r="AL88" s="44"/>
      <c r="AM88" s="44"/>
      <c r="AN88" s="44"/>
    </row>
    <row r="89" spans="16:40" x14ac:dyDescent="0.25">
      <c r="P89" s="44"/>
      <c r="Q89" s="44"/>
      <c r="R89" s="44"/>
      <c r="S89" s="44"/>
      <c r="V89" s="44"/>
      <c r="W89" s="44"/>
      <c r="X89" s="44"/>
      <c r="Y89" s="44"/>
      <c r="Z89" s="44"/>
      <c r="AA89" s="44"/>
      <c r="AB89" s="69"/>
      <c r="AC89" s="69"/>
      <c r="AD89" s="69"/>
      <c r="AH89" s="44"/>
      <c r="AI89" s="44"/>
      <c r="AJ89" s="44"/>
      <c r="AK89" s="44"/>
      <c r="AL89" s="44"/>
      <c r="AM89" s="44"/>
      <c r="AN89" s="44"/>
    </row>
    <row r="90" spans="16:40" x14ac:dyDescent="0.25">
      <c r="P90" s="44"/>
      <c r="Q90" s="44"/>
      <c r="R90" s="44"/>
      <c r="S90" s="44"/>
      <c r="V90" s="44"/>
      <c r="W90" s="44"/>
      <c r="X90" s="44"/>
      <c r="Y90" s="44"/>
      <c r="Z90" s="44"/>
      <c r="AA90" s="44"/>
      <c r="AB90" s="69"/>
      <c r="AC90" s="69"/>
      <c r="AD90" s="69"/>
      <c r="AH90" s="44"/>
      <c r="AI90" s="44"/>
      <c r="AJ90" s="44"/>
      <c r="AK90" s="44"/>
      <c r="AL90" s="44"/>
      <c r="AM90" s="44"/>
      <c r="AN90" s="44"/>
    </row>
    <row r="91" spans="16:40" x14ac:dyDescent="0.25">
      <c r="P91" s="44"/>
      <c r="Q91" s="44"/>
      <c r="R91" s="44"/>
      <c r="S91" s="44"/>
      <c r="V91" s="44"/>
      <c r="W91" s="44"/>
      <c r="X91" s="44"/>
      <c r="Y91" s="44"/>
      <c r="Z91" s="44"/>
      <c r="AA91" s="44"/>
      <c r="AB91" s="69"/>
      <c r="AC91" s="69"/>
      <c r="AD91" s="69"/>
      <c r="AH91" s="44"/>
      <c r="AI91" s="44"/>
      <c r="AJ91" s="44"/>
      <c r="AK91" s="44"/>
      <c r="AL91" s="44"/>
      <c r="AM91" s="44"/>
      <c r="AN91" s="44"/>
    </row>
    <row r="92" spans="16:40" x14ac:dyDescent="0.25">
      <c r="P92" s="44"/>
      <c r="Q92" s="44"/>
      <c r="R92" s="44"/>
      <c r="S92" s="44"/>
      <c r="V92" s="44"/>
      <c r="W92" s="44"/>
      <c r="X92" s="44"/>
      <c r="Y92" s="44"/>
      <c r="Z92" s="44"/>
      <c r="AA92" s="44"/>
      <c r="AB92" s="69"/>
      <c r="AC92" s="69"/>
      <c r="AD92" s="69"/>
      <c r="AH92" s="44"/>
      <c r="AI92" s="44"/>
      <c r="AJ92" s="44"/>
      <c r="AK92" s="44"/>
      <c r="AL92" s="44"/>
      <c r="AM92" s="44"/>
      <c r="AN92" s="44"/>
    </row>
    <row r="93" spans="16:40" x14ac:dyDescent="0.25">
      <c r="P93" s="44"/>
      <c r="Q93" s="44"/>
      <c r="R93" s="44"/>
      <c r="S93" s="44"/>
      <c r="V93" s="44"/>
      <c r="W93" s="44"/>
      <c r="X93" s="44"/>
      <c r="Y93" s="44"/>
      <c r="Z93" s="44"/>
      <c r="AA93" s="44"/>
      <c r="AB93" s="69"/>
      <c r="AC93" s="69"/>
      <c r="AD93" s="69"/>
      <c r="AH93" s="44"/>
      <c r="AI93" s="44"/>
      <c r="AJ93" s="44"/>
      <c r="AK93" s="44"/>
      <c r="AL93" s="44"/>
      <c r="AM93" s="44"/>
      <c r="AN93" s="44"/>
    </row>
    <row r="94" spans="16:40" x14ac:dyDescent="0.25">
      <c r="P94" s="44"/>
      <c r="Q94" s="44"/>
      <c r="R94" s="44"/>
      <c r="S94" s="44"/>
      <c r="V94" s="44"/>
      <c r="W94" s="44"/>
      <c r="X94" s="44"/>
      <c r="Y94" s="44"/>
      <c r="Z94" s="44"/>
      <c r="AA94" s="44"/>
      <c r="AB94" s="69"/>
      <c r="AC94" s="69"/>
      <c r="AD94" s="69"/>
      <c r="AH94" s="44"/>
      <c r="AI94" s="44"/>
      <c r="AJ94" s="44"/>
      <c r="AK94" s="44"/>
      <c r="AL94" s="44"/>
      <c r="AM94" s="44"/>
      <c r="AN94" s="44"/>
    </row>
    <row r="95" spans="16:40" x14ac:dyDescent="0.25">
      <c r="P95" s="44"/>
      <c r="Q95" s="44"/>
      <c r="R95" s="44"/>
      <c r="S95" s="44"/>
      <c r="V95" s="44"/>
      <c r="W95" s="44"/>
      <c r="X95" s="44"/>
      <c r="Y95" s="44"/>
      <c r="Z95" s="44"/>
      <c r="AA95" s="44"/>
      <c r="AB95" s="69"/>
      <c r="AC95" s="69"/>
      <c r="AD95" s="69"/>
      <c r="AH95" s="44"/>
      <c r="AI95" s="44"/>
      <c r="AJ95" s="44"/>
      <c r="AK95" s="44"/>
      <c r="AL95" s="44"/>
      <c r="AM95" s="44"/>
      <c r="AN95" s="44"/>
    </row>
    <row r="96" spans="16:40" x14ac:dyDescent="0.25">
      <c r="P96" s="44"/>
      <c r="Q96" s="44"/>
      <c r="R96" s="44"/>
      <c r="S96" s="44"/>
      <c r="V96" s="44"/>
      <c r="W96" s="44"/>
      <c r="X96" s="44"/>
      <c r="Y96" s="44"/>
      <c r="Z96" s="44"/>
      <c r="AA96" s="44"/>
      <c r="AB96" s="69"/>
      <c r="AC96" s="69"/>
      <c r="AD96" s="69"/>
      <c r="AH96" s="44"/>
      <c r="AI96" s="44"/>
      <c r="AJ96" s="44"/>
      <c r="AK96" s="44"/>
      <c r="AL96" s="44"/>
      <c r="AM96" s="44"/>
      <c r="AN96" s="44"/>
    </row>
    <row r="97" spans="16:40" x14ac:dyDescent="0.25">
      <c r="P97" s="44"/>
      <c r="Q97" s="44"/>
      <c r="R97" s="44"/>
      <c r="S97" s="44"/>
      <c r="V97" s="44"/>
      <c r="W97" s="44"/>
      <c r="X97" s="44"/>
      <c r="Y97" s="44"/>
      <c r="Z97" s="44"/>
      <c r="AA97" s="44"/>
      <c r="AB97" s="69"/>
      <c r="AC97" s="69"/>
      <c r="AD97" s="69"/>
      <c r="AH97" s="44"/>
      <c r="AI97" s="44"/>
      <c r="AJ97" s="44"/>
      <c r="AK97" s="44"/>
      <c r="AL97" s="44"/>
      <c r="AM97" s="44"/>
      <c r="AN97" s="44"/>
    </row>
    <row r="98" spans="16:40" x14ac:dyDescent="0.25">
      <c r="P98" s="44"/>
      <c r="Q98" s="44"/>
      <c r="R98" s="44"/>
      <c r="S98" s="44"/>
      <c r="V98" s="44"/>
      <c r="W98" s="44"/>
      <c r="X98" s="44"/>
      <c r="Y98" s="44"/>
      <c r="Z98" s="44"/>
      <c r="AA98" s="44"/>
      <c r="AB98" s="69"/>
      <c r="AC98" s="69"/>
      <c r="AD98" s="69"/>
      <c r="AH98" s="44"/>
      <c r="AI98" s="44"/>
      <c r="AJ98" s="44"/>
      <c r="AK98" s="44"/>
      <c r="AL98" s="44"/>
      <c r="AM98" s="44"/>
      <c r="AN98" s="44"/>
    </row>
    <row r="99" spans="16:40" x14ac:dyDescent="0.25">
      <c r="P99" s="44"/>
      <c r="Q99" s="44"/>
      <c r="R99" s="44"/>
      <c r="S99" s="44"/>
      <c r="V99" s="44"/>
      <c r="W99" s="44"/>
      <c r="X99" s="44"/>
      <c r="Y99" s="44"/>
      <c r="Z99" s="44"/>
      <c r="AA99" s="44"/>
      <c r="AB99" s="69"/>
      <c r="AC99" s="69"/>
      <c r="AD99" s="69"/>
      <c r="AH99" s="44"/>
      <c r="AI99" s="44"/>
      <c r="AJ99" s="44"/>
      <c r="AK99" s="44"/>
      <c r="AL99" s="44"/>
      <c r="AM99" s="44"/>
      <c r="AN99" s="44"/>
    </row>
    <row r="100" spans="16:40" x14ac:dyDescent="0.25">
      <c r="P100" s="44"/>
      <c r="Q100" s="44"/>
      <c r="R100" s="44"/>
      <c r="S100" s="44"/>
      <c r="V100" s="44"/>
      <c r="W100" s="44"/>
      <c r="X100" s="44"/>
      <c r="Y100" s="44"/>
      <c r="Z100" s="44"/>
      <c r="AA100" s="44"/>
      <c r="AB100" s="69"/>
      <c r="AC100" s="69"/>
      <c r="AD100" s="69"/>
      <c r="AH100" s="44"/>
      <c r="AI100" s="44"/>
      <c r="AJ100" s="44"/>
      <c r="AK100" s="44"/>
      <c r="AL100" s="44"/>
      <c r="AM100" s="44"/>
      <c r="AN100" s="44"/>
    </row>
    <row r="101" spans="16:40" x14ac:dyDescent="0.25">
      <c r="P101" s="44"/>
      <c r="Q101" s="44"/>
      <c r="R101" s="44"/>
      <c r="S101" s="44"/>
      <c r="V101" s="44"/>
      <c r="W101" s="44"/>
      <c r="X101" s="44"/>
      <c r="Y101" s="44"/>
      <c r="Z101" s="44"/>
      <c r="AA101" s="44"/>
      <c r="AB101" s="69"/>
      <c r="AC101" s="69"/>
      <c r="AD101" s="69"/>
      <c r="AH101" s="44"/>
      <c r="AI101" s="44"/>
      <c r="AJ101" s="44"/>
      <c r="AK101" s="44"/>
      <c r="AL101" s="44"/>
      <c r="AM101" s="44"/>
      <c r="AN101" s="44"/>
    </row>
    <row r="102" spans="16:40" x14ac:dyDescent="0.25">
      <c r="P102" s="44"/>
      <c r="Q102" s="44"/>
      <c r="R102" s="44"/>
      <c r="S102" s="44"/>
      <c r="V102" s="44"/>
      <c r="W102" s="44"/>
      <c r="X102" s="44"/>
      <c r="Y102" s="44"/>
      <c r="Z102" s="44"/>
      <c r="AA102" s="44"/>
      <c r="AB102" s="69"/>
      <c r="AC102" s="69"/>
      <c r="AD102" s="69"/>
      <c r="AH102" s="44"/>
      <c r="AI102" s="44"/>
      <c r="AJ102" s="44"/>
      <c r="AK102" s="44"/>
      <c r="AL102" s="44"/>
      <c r="AM102" s="44"/>
      <c r="AN102" s="44"/>
    </row>
    <row r="103" spans="16:40" x14ac:dyDescent="0.25">
      <c r="P103" s="44"/>
      <c r="Q103" s="44"/>
      <c r="R103" s="44"/>
      <c r="S103" s="44"/>
      <c r="V103" s="44"/>
      <c r="W103" s="44"/>
      <c r="X103" s="44"/>
      <c r="Y103" s="44"/>
      <c r="Z103" s="44"/>
      <c r="AA103" s="44"/>
      <c r="AB103" s="69"/>
      <c r="AC103" s="69"/>
      <c r="AD103" s="69"/>
      <c r="AH103" s="44"/>
      <c r="AI103" s="44"/>
      <c r="AJ103" s="44"/>
      <c r="AK103" s="44"/>
      <c r="AL103" s="44"/>
      <c r="AM103" s="44"/>
      <c r="AN103" s="44"/>
    </row>
    <row r="104" spans="16:40" x14ac:dyDescent="0.25">
      <c r="P104" s="44"/>
      <c r="Q104" s="44"/>
      <c r="R104" s="44"/>
      <c r="S104" s="44"/>
      <c r="V104" s="44"/>
      <c r="W104" s="44"/>
      <c r="X104" s="44"/>
      <c r="Y104" s="44"/>
      <c r="Z104" s="44"/>
      <c r="AA104" s="44"/>
      <c r="AB104" s="69"/>
      <c r="AC104" s="69"/>
      <c r="AD104" s="69"/>
      <c r="AH104" s="44"/>
      <c r="AI104" s="44"/>
      <c r="AJ104" s="44"/>
      <c r="AK104" s="44"/>
      <c r="AL104" s="44"/>
      <c r="AM104" s="44"/>
      <c r="AN104" s="44"/>
    </row>
    <row r="105" spans="16:40" x14ac:dyDescent="0.25">
      <c r="P105" s="44"/>
      <c r="Q105" s="44"/>
      <c r="R105" s="44"/>
      <c r="S105" s="44"/>
      <c r="V105" s="44"/>
      <c r="W105" s="44"/>
      <c r="X105" s="44"/>
      <c r="Y105" s="44"/>
      <c r="Z105" s="44"/>
      <c r="AA105" s="44"/>
      <c r="AB105" s="69"/>
      <c r="AC105" s="69"/>
      <c r="AD105" s="69"/>
      <c r="AH105" s="44"/>
      <c r="AI105" s="44"/>
      <c r="AJ105" s="44"/>
      <c r="AK105" s="44"/>
      <c r="AL105" s="44"/>
      <c r="AM105" s="44"/>
      <c r="AN105" s="44"/>
    </row>
    <row r="106" spans="16:40" x14ac:dyDescent="0.25">
      <c r="P106" s="44"/>
      <c r="Q106" s="44"/>
      <c r="R106" s="44"/>
      <c r="S106" s="44"/>
      <c r="V106" s="44"/>
      <c r="W106" s="44"/>
      <c r="X106" s="44"/>
      <c r="Y106" s="44"/>
      <c r="Z106" s="44"/>
      <c r="AA106" s="44"/>
      <c r="AB106" s="69"/>
      <c r="AC106" s="69"/>
      <c r="AD106" s="69"/>
      <c r="AH106" s="44"/>
      <c r="AI106" s="44"/>
      <c r="AJ106" s="44"/>
      <c r="AK106" s="44"/>
      <c r="AL106" s="44"/>
      <c r="AM106" s="44"/>
      <c r="AN106" s="44"/>
    </row>
    <row r="107" spans="16:40" x14ac:dyDescent="0.25">
      <c r="P107" s="44"/>
      <c r="Q107" s="44"/>
      <c r="R107" s="44"/>
      <c r="S107" s="44"/>
      <c r="V107" s="44"/>
      <c r="W107" s="44"/>
      <c r="X107" s="44"/>
      <c r="Y107" s="44"/>
      <c r="Z107" s="44"/>
      <c r="AA107" s="44"/>
      <c r="AB107" s="69"/>
      <c r="AC107" s="69"/>
      <c r="AD107" s="69"/>
      <c r="AH107" s="44"/>
      <c r="AI107" s="44"/>
      <c r="AJ107" s="44"/>
      <c r="AK107" s="44"/>
      <c r="AL107" s="44"/>
      <c r="AM107" s="44"/>
      <c r="AN107" s="44"/>
    </row>
    <row r="108" spans="16:40" x14ac:dyDescent="0.25">
      <c r="P108" s="44"/>
      <c r="Q108" s="44"/>
      <c r="R108" s="44"/>
      <c r="S108" s="44"/>
      <c r="V108" s="44"/>
      <c r="W108" s="44"/>
      <c r="X108" s="44"/>
      <c r="Y108" s="44"/>
      <c r="Z108" s="44"/>
      <c r="AA108" s="44"/>
      <c r="AB108" s="69"/>
      <c r="AC108" s="69"/>
      <c r="AD108" s="69"/>
      <c r="AH108" s="44"/>
      <c r="AI108" s="44"/>
      <c r="AJ108" s="44"/>
      <c r="AK108" s="44"/>
      <c r="AL108" s="44"/>
      <c r="AM108" s="44"/>
      <c r="AN108" s="44"/>
    </row>
    <row r="109" spans="16:40" x14ac:dyDescent="0.25">
      <c r="P109" s="44"/>
      <c r="Q109" s="44"/>
      <c r="R109" s="44"/>
      <c r="S109" s="44"/>
      <c r="V109" s="44"/>
      <c r="W109" s="44"/>
      <c r="X109" s="44"/>
      <c r="Y109" s="44"/>
      <c r="Z109" s="44"/>
      <c r="AA109" s="44"/>
      <c r="AB109" s="69"/>
      <c r="AC109" s="69"/>
      <c r="AD109" s="69"/>
      <c r="AH109" s="44"/>
      <c r="AI109" s="44"/>
      <c r="AJ109" s="44"/>
      <c r="AK109" s="44"/>
      <c r="AL109" s="44"/>
      <c r="AM109" s="44"/>
      <c r="AN109" s="44"/>
    </row>
    <row r="110" spans="16:40" x14ac:dyDescent="0.25">
      <c r="P110" s="44"/>
      <c r="Q110" s="44"/>
      <c r="R110" s="44"/>
      <c r="S110" s="44"/>
      <c r="V110" s="44"/>
      <c r="W110" s="44"/>
      <c r="X110" s="44"/>
      <c r="Y110" s="44"/>
      <c r="Z110" s="44"/>
      <c r="AA110" s="44"/>
      <c r="AB110" s="69"/>
      <c r="AC110" s="69"/>
      <c r="AD110" s="69"/>
      <c r="AH110" s="44"/>
      <c r="AI110" s="44"/>
      <c r="AJ110" s="44"/>
      <c r="AK110" s="44"/>
      <c r="AL110" s="44"/>
      <c r="AM110" s="44"/>
      <c r="AN110" s="44"/>
    </row>
    <row r="111" spans="16:40" x14ac:dyDescent="0.25">
      <c r="P111" s="44"/>
      <c r="Q111" s="44"/>
      <c r="R111" s="44"/>
      <c r="S111" s="44"/>
      <c r="V111" s="44"/>
      <c r="W111" s="44"/>
      <c r="X111" s="44"/>
      <c r="Y111" s="44"/>
      <c r="Z111" s="44"/>
      <c r="AA111" s="44"/>
      <c r="AB111" s="69"/>
      <c r="AC111" s="69"/>
      <c r="AD111" s="69"/>
      <c r="AH111" s="44"/>
      <c r="AI111" s="44"/>
      <c r="AJ111" s="44"/>
      <c r="AK111" s="44"/>
      <c r="AL111" s="44"/>
      <c r="AM111" s="44"/>
      <c r="AN111" s="44"/>
    </row>
    <row r="112" spans="16:40" x14ac:dyDescent="0.25">
      <c r="P112" s="44"/>
      <c r="Q112" s="44"/>
      <c r="R112" s="44"/>
      <c r="S112" s="44"/>
      <c r="V112" s="44"/>
      <c r="W112" s="44"/>
      <c r="X112" s="44"/>
      <c r="Y112" s="44"/>
      <c r="Z112" s="44"/>
      <c r="AA112" s="44"/>
      <c r="AB112" s="69"/>
      <c r="AC112" s="69"/>
      <c r="AD112" s="69"/>
      <c r="AH112" s="44"/>
      <c r="AI112" s="44"/>
      <c r="AJ112" s="44"/>
      <c r="AK112" s="44"/>
      <c r="AL112" s="44"/>
      <c r="AM112" s="44"/>
      <c r="AN112" s="44"/>
    </row>
    <row r="113" spans="16:40" x14ac:dyDescent="0.25">
      <c r="P113" s="44"/>
      <c r="Q113" s="44"/>
      <c r="R113" s="44"/>
      <c r="S113" s="44"/>
      <c r="V113" s="44"/>
      <c r="W113" s="44"/>
      <c r="X113" s="44"/>
      <c r="Y113" s="44"/>
      <c r="Z113" s="44"/>
      <c r="AA113" s="44"/>
      <c r="AB113" s="69"/>
      <c r="AC113" s="69"/>
      <c r="AD113" s="69"/>
      <c r="AH113" s="44"/>
      <c r="AI113" s="44"/>
      <c r="AJ113" s="44"/>
      <c r="AK113" s="44"/>
      <c r="AL113" s="44"/>
      <c r="AM113" s="44"/>
      <c r="AN113" s="44"/>
    </row>
    <row r="114" spans="16:40" x14ac:dyDescent="0.25">
      <c r="P114" s="44"/>
      <c r="Q114" s="44"/>
      <c r="R114" s="44"/>
      <c r="S114" s="44"/>
      <c r="V114" s="44"/>
      <c r="W114" s="44"/>
      <c r="X114" s="44"/>
      <c r="Y114" s="44"/>
      <c r="Z114" s="44"/>
      <c r="AA114" s="44"/>
      <c r="AB114" s="69"/>
      <c r="AC114" s="69"/>
      <c r="AD114" s="69"/>
      <c r="AH114" s="44"/>
      <c r="AI114" s="44"/>
      <c r="AJ114" s="44"/>
      <c r="AK114" s="44"/>
      <c r="AL114" s="44"/>
      <c r="AM114" s="44"/>
      <c r="AN114" s="44"/>
    </row>
    <row r="115" spans="16:40" x14ac:dyDescent="0.25">
      <c r="P115" s="44"/>
      <c r="Q115" s="44"/>
      <c r="R115" s="44"/>
      <c r="S115" s="44"/>
      <c r="V115" s="44"/>
      <c r="W115" s="44"/>
      <c r="X115" s="44"/>
      <c r="Y115" s="44"/>
      <c r="Z115" s="44"/>
      <c r="AA115" s="44"/>
      <c r="AB115" s="69"/>
      <c r="AC115" s="69"/>
      <c r="AD115" s="69"/>
      <c r="AH115" s="44"/>
      <c r="AI115" s="44"/>
      <c r="AJ115" s="44"/>
      <c r="AK115" s="44"/>
      <c r="AL115" s="44"/>
      <c r="AM115" s="44"/>
      <c r="AN115" s="44"/>
    </row>
    <row r="116" spans="16:40" x14ac:dyDescent="0.25">
      <c r="P116" s="44"/>
      <c r="Q116" s="44"/>
      <c r="R116" s="44"/>
      <c r="S116" s="44"/>
      <c r="V116" s="44"/>
      <c r="W116" s="44"/>
      <c r="X116" s="44"/>
      <c r="Y116" s="44"/>
      <c r="Z116" s="44"/>
      <c r="AA116" s="44"/>
      <c r="AB116" s="69"/>
      <c r="AC116" s="69"/>
      <c r="AD116" s="69"/>
      <c r="AH116" s="44"/>
      <c r="AI116" s="44"/>
      <c r="AJ116" s="44"/>
      <c r="AK116" s="44"/>
      <c r="AL116" s="44"/>
      <c r="AM116" s="44"/>
      <c r="AN116" s="44"/>
    </row>
    <row r="117" spans="16:40" x14ac:dyDescent="0.25">
      <c r="P117" s="44"/>
      <c r="Q117" s="44"/>
      <c r="R117" s="44"/>
      <c r="S117" s="44"/>
      <c r="V117" s="44"/>
      <c r="W117" s="44"/>
      <c r="X117" s="44"/>
      <c r="Y117" s="44"/>
      <c r="Z117" s="44"/>
      <c r="AA117" s="44"/>
      <c r="AB117" s="69"/>
      <c r="AC117" s="69"/>
      <c r="AD117" s="69"/>
      <c r="AH117" s="44"/>
      <c r="AI117" s="44"/>
      <c r="AJ117" s="44"/>
      <c r="AK117" s="44"/>
      <c r="AL117" s="44"/>
      <c r="AM117" s="44"/>
      <c r="AN117" s="44"/>
    </row>
    <row r="118" spans="16:40" x14ac:dyDescent="0.25">
      <c r="P118" s="44"/>
      <c r="Q118" s="44"/>
      <c r="R118" s="44"/>
      <c r="S118" s="44"/>
      <c r="V118" s="44"/>
      <c r="W118" s="44"/>
      <c r="X118" s="44"/>
      <c r="Y118" s="44"/>
      <c r="Z118" s="44"/>
      <c r="AA118" s="44"/>
      <c r="AB118" s="69"/>
      <c r="AC118" s="69"/>
      <c r="AD118" s="69"/>
      <c r="AH118" s="44"/>
      <c r="AI118" s="44"/>
      <c r="AJ118" s="44"/>
      <c r="AK118" s="44"/>
      <c r="AL118" s="44"/>
      <c r="AM118" s="44"/>
      <c r="AN118" s="44"/>
    </row>
    <row r="119" spans="16:40" x14ac:dyDescent="0.25">
      <c r="P119" s="44"/>
      <c r="Q119" s="44"/>
      <c r="R119" s="44"/>
      <c r="S119" s="44"/>
      <c r="V119" s="44"/>
      <c r="W119" s="44"/>
      <c r="X119" s="44"/>
      <c r="Y119" s="44"/>
      <c r="Z119" s="44"/>
      <c r="AA119" s="44"/>
      <c r="AB119" s="69"/>
      <c r="AC119" s="69"/>
      <c r="AD119" s="69"/>
      <c r="AH119" s="44"/>
      <c r="AI119" s="44"/>
      <c r="AJ119" s="44"/>
      <c r="AK119" s="44"/>
      <c r="AL119" s="44"/>
      <c r="AM119" s="44"/>
      <c r="AN119" s="44"/>
    </row>
    <row r="120" spans="16:40" x14ac:dyDescent="0.25">
      <c r="P120" s="44"/>
      <c r="Q120" s="44"/>
      <c r="R120" s="44"/>
      <c r="S120" s="44"/>
      <c r="V120" s="44"/>
      <c r="W120" s="44"/>
      <c r="X120" s="44"/>
      <c r="Y120" s="44"/>
      <c r="Z120" s="44"/>
      <c r="AA120" s="44"/>
      <c r="AB120" s="69"/>
      <c r="AC120" s="69"/>
      <c r="AD120" s="69"/>
      <c r="AH120" s="44"/>
      <c r="AI120" s="44"/>
      <c r="AJ120" s="44"/>
      <c r="AK120" s="44"/>
      <c r="AL120" s="44"/>
      <c r="AM120" s="44"/>
      <c r="AN120" s="44"/>
    </row>
    <row r="121" spans="16:40" x14ac:dyDescent="0.25">
      <c r="P121" s="44"/>
      <c r="Q121" s="44"/>
      <c r="R121" s="44"/>
      <c r="S121" s="44"/>
      <c r="V121" s="44"/>
      <c r="W121" s="44"/>
      <c r="X121" s="44"/>
      <c r="Y121" s="44"/>
      <c r="Z121" s="44"/>
      <c r="AA121" s="44"/>
      <c r="AB121" s="69"/>
      <c r="AC121" s="69"/>
      <c r="AD121" s="69"/>
      <c r="AH121" s="44"/>
      <c r="AI121" s="44"/>
      <c r="AJ121" s="44"/>
      <c r="AK121" s="44"/>
      <c r="AL121" s="44"/>
      <c r="AM121" s="44"/>
      <c r="AN121" s="44"/>
    </row>
    <row r="122" spans="16:40" x14ac:dyDescent="0.25">
      <c r="P122" s="44"/>
      <c r="Q122" s="44"/>
      <c r="R122" s="44"/>
      <c r="S122" s="44"/>
      <c r="V122" s="44"/>
      <c r="W122" s="44"/>
      <c r="X122" s="44"/>
      <c r="Y122" s="44"/>
      <c r="Z122" s="44"/>
      <c r="AA122" s="44"/>
      <c r="AB122" s="69"/>
      <c r="AC122" s="69"/>
      <c r="AD122" s="69"/>
      <c r="AH122" s="44"/>
      <c r="AI122" s="44"/>
      <c r="AJ122" s="44"/>
      <c r="AK122" s="44"/>
      <c r="AL122" s="44"/>
      <c r="AM122" s="44"/>
      <c r="AN122" s="44"/>
    </row>
    <row r="123" spans="16:40" x14ac:dyDescent="0.25">
      <c r="P123" s="44"/>
      <c r="Q123" s="44"/>
      <c r="R123" s="44"/>
      <c r="S123" s="44"/>
      <c r="V123" s="44"/>
      <c r="W123" s="44"/>
      <c r="X123" s="44"/>
      <c r="Y123" s="44"/>
      <c r="Z123" s="44"/>
      <c r="AA123" s="44"/>
      <c r="AB123" s="69"/>
      <c r="AC123" s="69"/>
      <c r="AD123" s="69"/>
      <c r="AH123" s="44"/>
      <c r="AI123" s="44"/>
      <c r="AJ123" s="44"/>
      <c r="AK123" s="44"/>
      <c r="AL123" s="44"/>
      <c r="AM123" s="44"/>
      <c r="AN123" s="44"/>
    </row>
    <row r="124" spans="16:40" x14ac:dyDescent="0.25">
      <c r="P124" s="44"/>
      <c r="Q124" s="44"/>
      <c r="R124" s="44"/>
      <c r="S124" s="44"/>
      <c r="V124" s="44"/>
      <c r="W124" s="44"/>
      <c r="X124" s="44"/>
      <c r="Y124" s="44"/>
      <c r="Z124" s="44"/>
      <c r="AA124" s="44"/>
      <c r="AB124" s="69"/>
      <c r="AC124" s="69"/>
      <c r="AD124" s="69"/>
      <c r="AH124" s="44"/>
      <c r="AI124" s="44"/>
      <c r="AJ124" s="44"/>
      <c r="AK124" s="44"/>
      <c r="AL124" s="44"/>
      <c r="AM124" s="44"/>
      <c r="AN124" s="44"/>
    </row>
    <row r="125" spans="16:40" x14ac:dyDescent="0.25">
      <c r="P125" s="44"/>
      <c r="Q125" s="44"/>
      <c r="R125" s="44"/>
      <c r="S125" s="44"/>
      <c r="V125" s="44"/>
      <c r="W125" s="44"/>
      <c r="X125" s="44"/>
      <c r="Y125" s="44"/>
      <c r="Z125" s="44"/>
      <c r="AA125" s="44"/>
      <c r="AB125" s="69"/>
      <c r="AC125" s="69"/>
      <c r="AD125" s="69"/>
      <c r="AH125" s="44"/>
      <c r="AI125" s="44"/>
      <c r="AJ125" s="44"/>
      <c r="AK125" s="44"/>
      <c r="AL125" s="44"/>
      <c r="AM125" s="44"/>
      <c r="AN125" s="44"/>
    </row>
    <row r="126" spans="16:40" x14ac:dyDescent="0.25">
      <c r="P126" s="44"/>
      <c r="Q126" s="44"/>
      <c r="R126" s="44"/>
      <c r="S126" s="44"/>
      <c r="V126" s="44"/>
      <c r="W126" s="44"/>
      <c r="X126" s="44"/>
      <c r="Y126" s="44"/>
      <c r="Z126" s="44"/>
      <c r="AA126" s="44"/>
      <c r="AB126" s="69"/>
      <c r="AC126" s="69"/>
      <c r="AD126" s="69"/>
      <c r="AH126" s="44"/>
      <c r="AI126" s="44"/>
      <c r="AJ126" s="44"/>
      <c r="AK126" s="44"/>
      <c r="AL126" s="44"/>
      <c r="AM126" s="44"/>
      <c r="AN126" s="44"/>
    </row>
    <row r="127" spans="16:40" x14ac:dyDescent="0.25">
      <c r="P127" s="44"/>
      <c r="Q127" s="44"/>
      <c r="R127" s="44"/>
      <c r="S127" s="44"/>
      <c r="V127" s="44"/>
      <c r="W127" s="44"/>
      <c r="X127" s="44"/>
      <c r="Y127" s="44"/>
      <c r="Z127" s="44"/>
      <c r="AA127" s="44"/>
      <c r="AB127" s="69"/>
      <c r="AC127" s="69"/>
      <c r="AD127" s="69"/>
      <c r="AH127" s="44"/>
      <c r="AI127" s="44"/>
      <c r="AJ127" s="44"/>
      <c r="AK127" s="44"/>
      <c r="AL127" s="44"/>
      <c r="AM127" s="44"/>
      <c r="AN127" s="44"/>
    </row>
    <row r="128" spans="16:40" x14ac:dyDescent="0.25">
      <c r="P128" s="44"/>
      <c r="Q128" s="44"/>
      <c r="R128" s="44"/>
      <c r="S128" s="44"/>
      <c r="V128" s="44"/>
      <c r="W128" s="44"/>
      <c r="X128" s="44"/>
      <c r="Y128" s="44"/>
      <c r="Z128" s="44"/>
      <c r="AA128" s="44"/>
      <c r="AB128" s="69"/>
      <c r="AC128" s="69"/>
      <c r="AD128" s="69"/>
      <c r="AH128" s="44"/>
      <c r="AI128" s="44"/>
      <c r="AJ128" s="44"/>
      <c r="AK128" s="44"/>
      <c r="AL128" s="44"/>
      <c r="AM128" s="44"/>
      <c r="AN128" s="44"/>
    </row>
    <row r="129" spans="16:40" x14ac:dyDescent="0.25">
      <c r="P129" s="44"/>
      <c r="Q129" s="44"/>
      <c r="R129" s="44"/>
      <c r="S129" s="44"/>
      <c r="V129" s="44"/>
      <c r="W129" s="44"/>
      <c r="X129" s="44"/>
      <c r="Y129" s="44"/>
      <c r="Z129" s="44"/>
      <c r="AA129" s="44"/>
      <c r="AB129" s="69"/>
      <c r="AC129" s="69"/>
      <c r="AD129" s="69"/>
      <c r="AH129" s="44"/>
      <c r="AI129" s="44"/>
      <c r="AJ129" s="44"/>
      <c r="AK129" s="44"/>
      <c r="AL129" s="44"/>
      <c r="AM129" s="44"/>
      <c r="AN129" s="44"/>
    </row>
    <row r="130" spans="16:40" x14ac:dyDescent="0.25">
      <c r="P130" s="44"/>
      <c r="Q130" s="44"/>
      <c r="R130" s="44"/>
      <c r="S130" s="44"/>
      <c r="V130" s="44"/>
      <c r="W130" s="44"/>
      <c r="X130" s="44"/>
      <c r="Y130" s="44"/>
      <c r="Z130" s="44"/>
      <c r="AA130" s="44"/>
      <c r="AB130" s="69"/>
      <c r="AC130" s="69"/>
      <c r="AD130" s="69"/>
      <c r="AH130" s="44"/>
      <c r="AI130" s="44"/>
      <c r="AJ130" s="44"/>
      <c r="AK130" s="44"/>
      <c r="AL130" s="44"/>
      <c r="AM130" s="44"/>
      <c r="AN130" s="44"/>
    </row>
    <row r="131" spans="16:40" x14ac:dyDescent="0.25">
      <c r="P131" s="44"/>
      <c r="Q131" s="44"/>
      <c r="R131" s="44"/>
      <c r="S131" s="44"/>
      <c r="V131" s="44"/>
      <c r="W131" s="44"/>
      <c r="X131" s="44"/>
      <c r="Y131" s="44"/>
      <c r="Z131" s="44"/>
      <c r="AA131" s="44"/>
      <c r="AB131" s="69"/>
      <c r="AC131" s="69"/>
      <c r="AD131" s="69"/>
      <c r="AH131" s="44"/>
      <c r="AI131" s="44"/>
      <c r="AJ131" s="44"/>
      <c r="AK131" s="44"/>
      <c r="AL131" s="44"/>
      <c r="AM131" s="44"/>
      <c r="AN131" s="44"/>
    </row>
    <row r="132" spans="16:40" x14ac:dyDescent="0.25">
      <c r="P132" s="44"/>
      <c r="Q132" s="44"/>
      <c r="R132" s="44"/>
      <c r="S132" s="44"/>
      <c r="V132" s="44"/>
      <c r="W132" s="44"/>
      <c r="X132" s="44"/>
      <c r="Y132" s="44"/>
      <c r="Z132" s="44"/>
      <c r="AA132" s="44"/>
      <c r="AB132" s="69"/>
      <c r="AC132" s="69"/>
      <c r="AD132" s="69"/>
      <c r="AH132" s="44"/>
      <c r="AI132" s="44"/>
      <c r="AJ132" s="44"/>
      <c r="AK132" s="44"/>
      <c r="AL132" s="44"/>
      <c r="AM132" s="44"/>
      <c r="AN132" s="44"/>
    </row>
    <row r="133" spans="16:40" x14ac:dyDescent="0.25">
      <c r="P133" s="44"/>
      <c r="Q133" s="44"/>
      <c r="R133" s="44"/>
      <c r="S133" s="44"/>
      <c r="V133" s="44"/>
      <c r="W133" s="44"/>
      <c r="X133" s="44"/>
      <c r="Y133" s="44"/>
      <c r="Z133" s="44"/>
      <c r="AA133" s="44"/>
      <c r="AB133" s="69"/>
      <c r="AC133" s="69"/>
      <c r="AD133" s="69"/>
      <c r="AH133" s="44"/>
      <c r="AI133" s="44"/>
      <c r="AJ133" s="44"/>
      <c r="AK133" s="44"/>
      <c r="AL133" s="44"/>
      <c r="AM133" s="44"/>
      <c r="AN133" s="44"/>
    </row>
    <row r="134" spans="16:40" x14ac:dyDescent="0.25">
      <c r="P134" s="44"/>
      <c r="Q134" s="44"/>
      <c r="R134" s="44"/>
      <c r="S134" s="44"/>
      <c r="V134" s="44"/>
      <c r="W134" s="44"/>
      <c r="X134" s="44"/>
      <c r="Y134" s="44"/>
      <c r="Z134" s="44"/>
      <c r="AA134" s="44"/>
      <c r="AB134" s="69"/>
      <c r="AC134" s="69"/>
      <c r="AD134" s="69"/>
      <c r="AH134" s="44"/>
      <c r="AI134" s="44"/>
      <c r="AJ134" s="44"/>
      <c r="AK134" s="44"/>
      <c r="AL134" s="44"/>
      <c r="AM134" s="44"/>
      <c r="AN134" s="44"/>
    </row>
    <row r="135" spans="16:40" x14ac:dyDescent="0.25">
      <c r="P135" s="44"/>
      <c r="Q135" s="44"/>
      <c r="R135" s="44"/>
      <c r="S135" s="44"/>
      <c r="V135" s="44"/>
      <c r="W135" s="44"/>
      <c r="X135" s="44"/>
      <c r="Y135" s="44"/>
      <c r="Z135" s="44"/>
      <c r="AA135" s="44"/>
      <c r="AB135" s="69"/>
      <c r="AC135" s="69"/>
      <c r="AD135" s="69"/>
      <c r="AH135" s="44"/>
      <c r="AI135" s="44"/>
      <c r="AJ135" s="44"/>
      <c r="AK135" s="44"/>
      <c r="AL135" s="44"/>
      <c r="AM135" s="44"/>
      <c r="AN135" s="44"/>
    </row>
    <row r="136" spans="16:40" x14ac:dyDescent="0.25">
      <c r="P136" s="44"/>
      <c r="Q136" s="44"/>
      <c r="R136" s="44"/>
      <c r="S136" s="44"/>
      <c r="V136" s="44"/>
      <c r="W136" s="44"/>
      <c r="X136" s="44"/>
      <c r="Y136" s="44"/>
      <c r="Z136" s="44"/>
      <c r="AA136" s="44"/>
      <c r="AB136" s="69"/>
      <c r="AC136" s="69"/>
      <c r="AD136" s="69"/>
      <c r="AH136" s="44"/>
      <c r="AI136" s="44"/>
      <c r="AJ136" s="44"/>
      <c r="AK136" s="44"/>
      <c r="AL136" s="44"/>
      <c r="AM136" s="44"/>
      <c r="AN136" s="44"/>
    </row>
    <row r="137" spans="16:40" x14ac:dyDescent="0.25">
      <c r="P137" s="44"/>
      <c r="Q137" s="44"/>
      <c r="R137" s="44"/>
      <c r="S137" s="44"/>
      <c r="V137" s="44"/>
      <c r="W137" s="44"/>
      <c r="X137" s="44"/>
      <c r="Y137" s="44"/>
      <c r="Z137" s="44"/>
      <c r="AA137" s="44"/>
      <c r="AB137" s="69"/>
      <c r="AC137" s="69"/>
      <c r="AD137" s="69"/>
      <c r="AH137" s="44"/>
      <c r="AI137" s="44"/>
      <c r="AJ137" s="44"/>
      <c r="AK137" s="44"/>
      <c r="AL137" s="44"/>
      <c r="AM137" s="44"/>
      <c r="AN137" s="44"/>
    </row>
    <row r="138" spans="16:40" x14ac:dyDescent="0.25">
      <c r="P138" s="44"/>
      <c r="Q138" s="44"/>
      <c r="R138" s="44"/>
      <c r="S138" s="44"/>
      <c r="V138" s="44"/>
      <c r="W138" s="44"/>
      <c r="X138" s="44"/>
      <c r="Y138" s="44"/>
      <c r="Z138" s="44"/>
      <c r="AA138" s="44"/>
      <c r="AB138" s="69"/>
      <c r="AC138" s="69"/>
      <c r="AD138" s="69"/>
      <c r="AH138" s="44"/>
      <c r="AI138" s="44"/>
      <c r="AJ138" s="44"/>
      <c r="AK138" s="44"/>
      <c r="AL138" s="44"/>
      <c r="AM138" s="44"/>
      <c r="AN138" s="44"/>
    </row>
    <row r="139" spans="16:40" x14ac:dyDescent="0.25">
      <c r="P139" s="44"/>
      <c r="Q139" s="44"/>
      <c r="R139" s="44"/>
      <c r="S139" s="44"/>
      <c r="V139" s="44"/>
      <c r="W139" s="44"/>
      <c r="X139" s="44"/>
      <c r="Y139" s="44"/>
      <c r="Z139" s="44"/>
      <c r="AA139" s="44"/>
      <c r="AB139" s="69"/>
      <c r="AC139" s="69"/>
      <c r="AD139" s="69"/>
      <c r="AH139" s="44"/>
      <c r="AI139" s="44"/>
      <c r="AJ139" s="44"/>
      <c r="AK139" s="44"/>
      <c r="AL139" s="44"/>
      <c r="AM139" s="44"/>
      <c r="AN139" s="44"/>
    </row>
    <row r="140" spans="16:40" x14ac:dyDescent="0.25">
      <c r="P140" s="44"/>
      <c r="Q140" s="44"/>
      <c r="R140" s="44"/>
      <c r="S140" s="44"/>
      <c r="V140" s="44"/>
      <c r="W140" s="44"/>
      <c r="X140" s="44"/>
      <c r="Y140" s="44"/>
      <c r="Z140" s="44"/>
      <c r="AA140" s="44"/>
      <c r="AB140" s="69"/>
      <c r="AC140" s="69"/>
      <c r="AD140" s="69"/>
      <c r="AH140" s="44"/>
      <c r="AI140" s="44"/>
      <c r="AJ140" s="44"/>
      <c r="AK140" s="44"/>
      <c r="AL140" s="44"/>
      <c r="AM140" s="44"/>
      <c r="AN140" s="44"/>
    </row>
    <row r="141" spans="16:40" x14ac:dyDescent="0.25">
      <c r="P141" s="44"/>
      <c r="Q141" s="44"/>
      <c r="R141" s="44"/>
      <c r="S141" s="44"/>
      <c r="V141" s="44"/>
      <c r="W141" s="44"/>
      <c r="X141" s="44"/>
      <c r="Y141" s="44"/>
      <c r="Z141" s="44"/>
      <c r="AA141" s="44"/>
      <c r="AB141" s="69"/>
      <c r="AC141" s="69"/>
      <c r="AD141" s="69"/>
      <c r="AH141" s="44"/>
      <c r="AI141" s="44"/>
      <c r="AJ141" s="44"/>
      <c r="AK141" s="44"/>
      <c r="AL141" s="44"/>
      <c r="AM141" s="44"/>
      <c r="AN141" s="44"/>
    </row>
    <row r="142" spans="16:40" x14ac:dyDescent="0.25">
      <c r="P142" s="44"/>
      <c r="Q142" s="44"/>
      <c r="R142" s="44"/>
      <c r="S142" s="44"/>
      <c r="V142" s="44"/>
      <c r="W142" s="44"/>
      <c r="X142" s="44"/>
      <c r="Y142" s="44"/>
      <c r="Z142" s="44"/>
      <c r="AA142" s="44"/>
      <c r="AB142" s="69"/>
      <c r="AC142" s="69"/>
      <c r="AD142" s="69"/>
      <c r="AH142" s="44"/>
      <c r="AI142" s="44"/>
      <c r="AJ142" s="44"/>
      <c r="AK142" s="44"/>
      <c r="AL142" s="44"/>
      <c r="AM142" s="44"/>
      <c r="AN142" s="44"/>
    </row>
    <row r="143" spans="16:40" x14ac:dyDescent="0.25">
      <c r="P143" s="44"/>
      <c r="Q143" s="44"/>
      <c r="R143" s="44"/>
      <c r="S143" s="44"/>
      <c r="V143" s="44"/>
      <c r="W143" s="44"/>
      <c r="X143" s="44"/>
      <c r="Y143" s="44"/>
      <c r="Z143" s="44"/>
      <c r="AA143" s="44"/>
      <c r="AB143" s="69"/>
      <c r="AC143" s="69"/>
      <c r="AD143" s="69"/>
      <c r="AH143" s="44"/>
      <c r="AI143" s="44"/>
      <c r="AJ143" s="44"/>
      <c r="AK143" s="44"/>
      <c r="AL143" s="44"/>
      <c r="AM143" s="44"/>
      <c r="AN143" s="44"/>
    </row>
    <row r="144" spans="16:40" x14ac:dyDescent="0.25">
      <c r="P144" s="44"/>
      <c r="Q144" s="44"/>
      <c r="R144" s="44"/>
      <c r="S144" s="44"/>
      <c r="V144" s="44"/>
      <c r="W144" s="44"/>
      <c r="X144" s="44"/>
      <c r="Y144" s="44"/>
      <c r="Z144" s="44"/>
      <c r="AA144" s="44"/>
      <c r="AB144" s="69"/>
      <c r="AC144" s="69"/>
      <c r="AD144" s="69"/>
      <c r="AH144" s="44"/>
      <c r="AI144" s="44"/>
      <c r="AJ144" s="44"/>
      <c r="AK144" s="44"/>
      <c r="AL144" s="44"/>
      <c r="AM144" s="44"/>
      <c r="AN144" s="44"/>
    </row>
    <row r="145" spans="16:40" x14ac:dyDescent="0.25">
      <c r="P145" s="44"/>
      <c r="Q145" s="44"/>
      <c r="R145" s="44"/>
      <c r="S145" s="44"/>
      <c r="V145" s="44"/>
      <c r="W145" s="44"/>
      <c r="X145" s="44"/>
      <c r="Y145" s="44"/>
      <c r="Z145" s="44"/>
      <c r="AA145" s="44"/>
      <c r="AB145" s="69"/>
      <c r="AC145" s="69"/>
      <c r="AD145" s="69"/>
      <c r="AH145" s="44"/>
      <c r="AI145" s="44"/>
      <c r="AJ145" s="44"/>
      <c r="AK145" s="44"/>
      <c r="AL145" s="44"/>
      <c r="AM145" s="44"/>
      <c r="AN145" s="44"/>
    </row>
    <row r="146" spans="16:40" x14ac:dyDescent="0.25">
      <c r="P146" s="44"/>
      <c r="Q146" s="44"/>
      <c r="R146" s="44"/>
      <c r="S146" s="44"/>
      <c r="V146" s="44"/>
      <c r="W146" s="44"/>
      <c r="X146" s="44"/>
      <c r="Y146" s="44"/>
      <c r="Z146" s="44"/>
      <c r="AA146" s="44"/>
      <c r="AB146" s="69"/>
      <c r="AC146" s="69"/>
      <c r="AD146" s="69"/>
      <c r="AH146" s="44"/>
      <c r="AI146" s="44"/>
      <c r="AJ146" s="44"/>
      <c r="AK146" s="44"/>
      <c r="AL146" s="44"/>
      <c r="AM146" s="44"/>
      <c r="AN146" s="44"/>
    </row>
    <row r="147" spans="16:40" x14ac:dyDescent="0.25">
      <c r="P147" s="44"/>
      <c r="Q147" s="44"/>
      <c r="R147" s="44"/>
      <c r="S147" s="44"/>
      <c r="V147" s="44"/>
      <c r="W147" s="44"/>
      <c r="X147" s="44"/>
      <c r="Y147" s="44"/>
      <c r="Z147" s="44"/>
      <c r="AA147" s="44"/>
      <c r="AB147" s="69"/>
      <c r="AC147" s="69"/>
      <c r="AD147" s="69"/>
      <c r="AH147" s="44"/>
      <c r="AI147" s="44"/>
      <c r="AJ147" s="44"/>
      <c r="AK147" s="44"/>
      <c r="AL147" s="44"/>
      <c r="AM147" s="44"/>
      <c r="AN147" s="44"/>
    </row>
    <row r="148" spans="16:40" x14ac:dyDescent="0.25">
      <c r="P148" s="44"/>
      <c r="Q148" s="44"/>
      <c r="R148" s="44"/>
      <c r="S148" s="44"/>
      <c r="V148" s="44"/>
      <c r="W148" s="44"/>
      <c r="X148" s="44"/>
      <c r="Y148" s="44"/>
      <c r="Z148" s="44"/>
      <c r="AA148" s="44"/>
      <c r="AB148" s="69"/>
      <c r="AC148" s="69"/>
      <c r="AD148" s="69"/>
      <c r="AH148" s="44"/>
      <c r="AI148" s="44"/>
      <c r="AJ148" s="44"/>
      <c r="AK148" s="44"/>
      <c r="AL148" s="44"/>
      <c r="AM148" s="44"/>
      <c r="AN148" s="44"/>
    </row>
    <row r="149" spans="16:40" x14ac:dyDescent="0.25">
      <c r="P149" s="44"/>
      <c r="Q149" s="44"/>
      <c r="R149" s="44"/>
      <c r="S149" s="44"/>
      <c r="V149" s="44"/>
      <c r="W149" s="44"/>
      <c r="X149" s="44"/>
      <c r="Y149" s="44"/>
      <c r="Z149" s="44"/>
      <c r="AA149" s="44"/>
      <c r="AB149" s="69"/>
      <c r="AC149" s="69"/>
      <c r="AD149" s="69"/>
      <c r="AH149" s="44"/>
      <c r="AI149" s="44"/>
      <c r="AJ149" s="44"/>
      <c r="AK149" s="44"/>
      <c r="AL149" s="44"/>
      <c r="AM149" s="44"/>
      <c r="AN149" s="44"/>
    </row>
    <row r="150" spans="16:40" x14ac:dyDescent="0.25">
      <c r="P150" s="44"/>
      <c r="Q150" s="44"/>
      <c r="R150" s="44"/>
      <c r="S150" s="44"/>
      <c r="V150" s="44"/>
      <c r="W150" s="44"/>
      <c r="X150" s="44"/>
      <c r="Y150" s="44"/>
      <c r="Z150" s="44"/>
      <c r="AA150" s="44"/>
      <c r="AB150" s="69"/>
      <c r="AC150" s="69"/>
      <c r="AD150" s="69"/>
      <c r="AH150" s="44"/>
      <c r="AI150" s="44"/>
      <c r="AJ150" s="44"/>
      <c r="AK150" s="44"/>
      <c r="AL150" s="44"/>
      <c r="AM150" s="44"/>
      <c r="AN150" s="44"/>
    </row>
    <row r="151" spans="16:40" x14ac:dyDescent="0.25">
      <c r="P151" s="44"/>
      <c r="Q151" s="44"/>
      <c r="R151" s="44"/>
      <c r="S151" s="44"/>
      <c r="V151" s="44"/>
      <c r="W151" s="44"/>
      <c r="X151" s="44"/>
      <c r="Y151" s="44"/>
      <c r="Z151" s="44"/>
      <c r="AA151" s="44"/>
      <c r="AB151" s="69"/>
      <c r="AC151" s="69"/>
      <c r="AD151" s="69"/>
      <c r="AH151" s="44"/>
      <c r="AI151" s="44"/>
      <c r="AJ151" s="44"/>
      <c r="AK151" s="44"/>
      <c r="AL151" s="44"/>
      <c r="AM151" s="44"/>
      <c r="AN151" s="44"/>
    </row>
    <row r="152" spans="16:40" x14ac:dyDescent="0.25">
      <c r="P152" s="44"/>
      <c r="Q152" s="44"/>
      <c r="R152" s="44"/>
      <c r="S152" s="44"/>
      <c r="V152" s="44"/>
      <c r="W152" s="44"/>
      <c r="X152" s="44"/>
      <c r="Y152" s="44"/>
      <c r="Z152" s="44"/>
      <c r="AA152" s="44"/>
      <c r="AB152" s="69"/>
      <c r="AC152" s="69"/>
      <c r="AD152" s="69"/>
      <c r="AH152" s="44"/>
      <c r="AI152" s="44"/>
      <c r="AJ152" s="44"/>
      <c r="AK152" s="44"/>
      <c r="AL152" s="44"/>
      <c r="AM152" s="44"/>
      <c r="AN152" s="44"/>
    </row>
    <row r="153" spans="16:40" x14ac:dyDescent="0.25">
      <c r="P153" s="44"/>
      <c r="Q153" s="44"/>
      <c r="R153" s="44"/>
      <c r="S153" s="44"/>
      <c r="V153" s="44"/>
      <c r="W153" s="44"/>
      <c r="X153" s="44"/>
      <c r="Y153" s="44"/>
      <c r="Z153" s="44"/>
      <c r="AA153" s="44"/>
      <c r="AB153" s="69"/>
      <c r="AC153" s="69"/>
      <c r="AD153" s="69"/>
      <c r="AH153" s="44"/>
      <c r="AI153" s="44"/>
      <c r="AJ153" s="44"/>
      <c r="AK153" s="44"/>
      <c r="AL153" s="44"/>
      <c r="AM153" s="44"/>
      <c r="AN153" s="44"/>
    </row>
    <row r="154" spans="16:40" x14ac:dyDescent="0.25">
      <c r="P154" s="44"/>
      <c r="Q154" s="44"/>
      <c r="R154" s="44"/>
      <c r="S154" s="44"/>
      <c r="V154" s="44"/>
      <c r="W154" s="44"/>
      <c r="X154" s="44"/>
      <c r="Y154" s="44"/>
      <c r="Z154" s="44"/>
      <c r="AA154" s="44"/>
      <c r="AB154" s="69"/>
      <c r="AC154" s="69"/>
      <c r="AD154" s="69"/>
      <c r="AH154" s="44"/>
      <c r="AI154" s="44"/>
      <c r="AJ154" s="44"/>
      <c r="AK154" s="44"/>
      <c r="AL154" s="44"/>
      <c r="AM154" s="44"/>
      <c r="AN154" s="44"/>
    </row>
    <row r="155" spans="16:40" x14ac:dyDescent="0.25">
      <c r="P155" s="44"/>
      <c r="Q155" s="44"/>
      <c r="R155" s="44"/>
      <c r="S155" s="44"/>
      <c r="V155" s="44"/>
      <c r="W155" s="44"/>
      <c r="X155" s="44"/>
      <c r="Y155" s="44"/>
      <c r="Z155" s="44"/>
      <c r="AA155" s="44"/>
      <c r="AB155" s="69"/>
      <c r="AC155" s="69"/>
      <c r="AD155" s="69"/>
      <c r="AH155" s="44"/>
      <c r="AI155" s="44"/>
      <c r="AJ155" s="44"/>
      <c r="AK155" s="44"/>
      <c r="AL155" s="44"/>
      <c r="AM155" s="44"/>
      <c r="AN155" s="44"/>
    </row>
    <row r="156" spans="16:40" x14ac:dyDescent="0.25">
      <c r="P156" s="44"/>
      <c r="Q156" s="44"/>
      <c r="R156" s="44"/>
      <c r="S156" s="44"/>
      <c r="V156" s="44"/>
      <c r="W156" s="44"/>
      <c r="X156" s="44"/>
      <c r="Y156" s="44"/>
      <c r="Z156" s="44"/>
      <c r="AA156" s="44"/>
      <c r="AB156" s="69"/>
      <c r="AC156" s="69"/>
      <c r="AD156" s="69"/>
      <c r="AH156" s="44"/>
      <c r="AI156" s="44"/>
      <c r="AJ156" s="44"/>
      <c r="AK156" s="44"/>
      <c r="AL156" s="44"/>
      <c r="AM156" s="44"/>
      <c r="AN156" s="44"/>
    </row>
    <row r="157" spans="16:40" x14ac:dyDescent="0.25">
      <c r="P157" s="44"/>
      <c r="Q157" s="44"/>
      <c r="R157" s="44"/>
      <c r="S157" s="44"/>
      <c r="V157" s="44"/>
      <c r="W157" s="44"/>
      <c r="X157" s="44"/>
      <c r="Y157" s="44"/>
      <c r="Z157" s="44"/>
      <c r="AA157" s="44"/>
      <c r="AB157" s="69"/>
      <c r="AC157" s="69"/>
      <c r="AD157" s="69"/>
      <c r="AH157" s="44"/>
      <c r="AI157" s="44"/>
      <c r="AJ157" s="44"/>
      <c r="AK157" s="44"/>
      <c r="AL157" s="44"/>
      <c r="AM157" s="44"/>
      <c r="AN157" s="44"/>
    </row>
    <row r="158" spans="16:40" x14ac:dyDescent="0.25">
      <c r="P158" s="44"/>
      <c r="Q158" s="44"/>
      <c r="R158" s="44"/>
      <c r="S158" s="44"/>
      <c r="V158" s="44"/>
      <c r="W158" s="44"/>
      <c r="X158" s="44"/>
      <c r="Y158" s="44"/>
      <c r="Z158" s="44"/>
      <c r="AA158" s="44"/>
      <c r="AB158" s="69"/>
      <c r="AC158" s="69"/>
      <c r="AD158" s="69"/>
      <c r="AH158" s="44"/>
      <c r="AI158" s="44"/>
      <c r="AJ158" s="44"/>
      <c r="AK158" s="44"/>
      <c r="AL158" s="44"/>
      <c r="AM158" s="44"/>
      <c r="AN158" s="44"/>
    </row>
    <row r="159" spans="16:40" x14ac:dyDescent="0.25">
      <c r="P159" s="44"/>
      <c r="Q159" s="44"/>
      <c r="R159" s="44"/>
      <c r="S159" s="44"/>
      <c r="V159" s="44"/>
      <c r="W159" s="44"/>
      <c r="X159" s="44"/>
      <c r="Y159" s="44"/>
      <c r="Z159" s="44"/>
      <c r="AA159" s="44"/>
      <c r="AB159" s="69"/>
      <c r="AC159" s="69"/>
      <c r="AD159" s="69"/>
      <c r="AH159" s="44"/>
      <c r="AI159" s="44"/>
      <c r="AJ159" s="44"/>
      <c r="AK159" s="44"/>
      <c r="AL159" s="44"/>
      <c r="AM159" s="44"/>
      <c r="AN159" s="44"/>
    </row>
    <row r="160" spans="16:40" x14ac:dyDescent="0.25">
      <c r="P160" s="44"/>
      <c r="Q160" s="44"/>
      <c r="R160" s="44"/>
      <c r="S160" s="44"/>
      <c r="V160" s="44"/>
      <c r="W160" s="44"/>
      <c r="X160" s="44"/>
      <c r="Y160" s="44"/>
      <c r="Z160" s="44"/>
      <c r="AA160" s="44"/>
      <c r="AB160" s="69"/>
      <c r="AC160" s="69"/>
      <c r="AD160" s="69"/>
      <c r="AH160" s="44"/>
      <c r="AI160" s="44"/>
      <c r="AJ160" s="44"/>
      <c r="AK160" s="44"/>
      <c r="AL160" s="44"/>
      <c r="AM160" s="44"/>
      <c r="AN160" s="44"/>
    </row>
    <row r="161" spans="16:40" x14ac:dyDescent="0.25">
      <c r="P161" s="44"/>
      <c r="Q161" s="44"/>
      <c r="R161" s="44"/>
      <c r="S161" s="44"/>
      <c r="V161" s="44"/>
      <c r="W161" s="44"/>
      <c r="X161" s="44"/>
      <c r="Y161" s="44"/>
      <c r="Z161" s="44"/>
      <c r="AA161" s="44"/>
      <c r="AB161" s="69"/>
      <c r="AC161" s="69"/>
      <c r="AD161" s="69"/>
      <c r="AH161" s="44"/>
      <c r="AI161" s="44"/>
      <c r="AJ161" s="44"/>
      <c r="AK161" s="44"/>
      <c r="AL161" s="44"/>
      <c r="AM161" s="44"/>
      <c r="AN161" s="44"/>
    </row>
    <row r="162" spans="16:40" x14ac:dyDescent="0.25">
      <c r="P162" s="44"/>
      <c r="Q162" s="44"/>
      <c r="R162" s="44"/>
      <c r="S162" s="44"/>
      <c r="V162" s="44"/>
      <c r="W162" s="44"/>
      <c r="X162" s="44"/>
      <c r="Y162" s="44"/>
      <c r="Z162" s="44"/>
      <c r="AA162" s="44"/>
      <c r="AB162" s="69"/>
      <c r="AC162" s="69"/>
      <c r="AD162" s="69"/>
      <c r="AH162" s="44"/>
      <c r="AI162" s="44"/>
      <c r="AJ162" s="44"/>
      <c r="AK162" s="44"/>
      <c r="AL162" s="44"/>
      <c r="AM162" s="44"/>
      <c r="AN162" s="44"/>
    </row>
    <row r="163" spans="16:40" x14ac:dyDescent="0.25">
      <c r="P163" s="44"/>
      <c r="Q163" s="44"/>
      <c r="R163" s="44"/>
      <c r="S163" s="44"/>
      <c r="V163" s="44"/>
      <c r="W163" s="44"/>
      <c r="X163" s="44"/>
      <c r="Y163" s="44"/>
      <c r="Z163" s="44"/>
      <c r="AA163" s="44"/>
      <c r="AB163" s="69"/>
      <c r="AC163" s="69"/>
      <c r="AD163" s="69"/>
      <c r="AH163" s="44"/>
      <c r="AI163" s="44"/>
      <c r="AJ163" s="44"/>
      <c r="AK163" s="44"/>
      <c r="AL163" s="44"/>
      <c r="AM163" s="44"/>
      <c r="AN163" s="44"/>
    </row>
    <row r="164" spans="16:40" x14ac:dyDescent="0.25">
      <c r="P164" s="44"/>
      <c r="Q164" s="44"/>
      <c r="R164" s="44"/>
      <c r="S164" s="44"/>
      <c r="V164" s="44"/>
      <c r="W164" s="44"/>
      <c r="X164" s="44"/>
      <c r="Y164" s="44"/>
      <c r="Z164" s="44"/>
      <c r="AA164" s="44"/>
      <c r="AB164" s="69"/>
      <c r="AC164" s="69"/>
      <c r="AD164" s="69"/>
      <c r="AH164" s="44"/>
      <c r="AI164" s="44"/>
      <c r="AJ164" s="44"/>
      <c r="AK164" s="44"/>
      <c r="AL164" s="44"/>
      <c r="AM164" s="44"/>
      <c r="AN164" s="44"/>
    </row>
    <row r="165" spans="16:40" x14ac:dyDescent="0.25">
      <c r="P165" s="44"/>
      <c r="Q165" s="44"/>
      <c r="R165" s="44"/>
      <c r="S165" s="44"/>
      <c r="V165" s="44"/>
      <c r="W165" s="44"/>
      <c r="X165" s="44"/>
      <c r="Y165" s="44"/>
      <c r="Z165" s="44"/>
      <c r="AA165" s="44"/>
      <c r="AB165" s="69"/>
      <c r="AC165" s="69"/>
      <c r="AD165" s="69"/>
      <c r="AH165" s="44"/>
      <c r="AI165" s="44"/>
      <c r="AJ165" s="44"/>
      <c r="AK165" s="44"/>
      <c r="AL165" s="44"/>
      <c r="AM165" s="44"/>
      <c r="AN165" s="44"/>
    </row>
    <row r="166" spans="16:40" x14ac:dyDescent="0.25">
      <c r="P166" s="44"/>
      <c r="Q166" s="44"/>
      <c r="R166" s="44"/>
      <c r="S166" s="44"/>
      <c r="V166" s="44"/>
      <c r="W166" s="44"/>
      <c r="X166" s="44"/>
      <c r="Y166" s="44"/>
      <c r="Z166" s="44"/>
      <c r="AA166" s="44"/>
      <c r="AB166" s="69"/>
      <c r="AC166" s="69"/>
      <c r="AD166" s="69"/>
      <c r="AH166" s="44"/>
      <c r="AI166" s="44"/>
      <c r="AJ166" s="44"/>
      <c r="AK166" s="44"/>
      <c r="AL166" s="44"/>
      <c r="AM166" s="44"/>
      <c r="AN166" s="44"/>
    </row>
    <row r="167" spans="16:40" x14ac:dyDescent="0.25">
      <c r="P167" s="44"/>
      <c r="Q167" s="44"/>
      <c r="R167" s="44"/>
      <c r="S167" s="44"/>
      <c r="V167" s="44"/>
      <c r="W167" s="44"/>
      <c r="X167" s="44"/>
      <c r="Y167" s="44"/>
      <c r="Z167" s="44"/>
      <c r="AA167" s="44"/>
      <c r="AB167" s="69"/>
      <c r="AC167" s="69"/>
      <c r="AD167" s="69"/>
      <c r="AH167" s="44"/>
      <c r="AI167" s="44"/>
      <c r="AJ167" s="44"/>
      <c r="AK167" s="44"/>
      <c r="AL167" s="44"/>
      <c r="AM167" s="44"/>
      <c r="AN167" s="44"/>
    </row>
    <row r="168" spans="16:40" x14ac:dyDescent="0.25">
      <c r="P168" s="44"/>
      <c r="Q168" s="44"/>
      <c r="R168" s="44"/>
      <c r="S168" s="44"/>
      <c r="V168" s="44"/>
      <c r="W168" s="44"/>
      <c r="X168" s="44"/>
      <c r="Y168" s="44"/>
      <c r="Z168" s="44"/>
      <c r="AA168" s="44"/>
      <c r="AB168" s="69"/>
      <c r="AC168" s="69"/>
      <c r="AD168" s="69"/>
      <c r="AH168" s="44"/>
      <c r="AI168" s="44"/>
      <c r="AJ168" s="44"/>
      <c r="AK168" s="44"/>
      <c r="AL168" s="44"/>
      <c r="AM168" s="44"/>
      <c r="AN168" s="44"/>
    </row>
    <row r="169" spans="16:40" x14ac:dyDescent="0.25">
      <c r="P169" s="44"/>
      <c r="Q169" s="44"/>
      <c r="R169" s="44"/>
      <c r="S169" s="44"/>
      <c r="V169" s="44"/>
      <c r="W169" s="44"/>
      <c r="X169" s="44"/>
      <c r="Y169" s="44"/>
      <c r="Z169" s="44"/>
      <c r="AA169" s="44"/>
      <c r="AB169" s="69"/>
      <c r="AC169" s="69"/>
      <c r="AD169" s="69"/>
      <c r="AH169" s="44"/>
      <c r="AI169" s="44"/>
      <c r="AJ169" s="44"/>
      <c r="AK169" s="44"/>
      <c r="AL169" s="44"/>
      <c r="AM169" s="44"/>
      <c r="AN169" s="44"/>
    </row>
    <row r="170" spans="16:40" x14ac:dyDescent="0.25">
      <c r="P170" s="44"/>
      <c r="Q170" s="44"/>
      <c r="R170" s="44"/>
      <c r="S170" s="44"/>
      <c r="V170" s="44"/>
      <c r="W170" s="44"/>
      <c r="X170" s="44"/>
      <c r="Y170" s="44"/>
      <c r="Z170" s="44"/>
      <c r="AA170" s="44"/>
      <c r="AB170" s="69"/>
      <c r="AC170" s="69"/>
      <c r="AD170" s="69"/>
      <c r="AH170" s="44"/>
      <c r="AI170" s="44"/>
      <c r="AJ170" s="44"/>
      <c r="AK170" s="44"/>
      <c r="AL170" s="44"/>
      <c r="AM170" s="44"/>
      <c r="AN170" s="44"/>
    </row>
    <row r="171" spans="16:40" x14ac:dyDescent="0.25">
      <c r="P171" s="44"/>
      <c r="Q171" s="44"/>
      <c r="R171" s="44"/>
      <c r="S171" s="44"/>
      <c r="V171" s="44"/>
      <c r="W171" s="44"/>
      <c r="X171" s="44"/>
      <c r="Y171" s="44"/>
      <c r="Z171" s="44"/>
      <c r="AA171" s="44"/>
      <c r="AB171" s="69"/>
      <c r="AC171" s="69"/>
      <c r="AD171" s="69"/>
      <c r="AH171" s="44"/>
      <c r="AI171" s="44"/>
      <c r="AJ171" s="44"/>
      <c r="AK171" s="44"/>
      <c r="AL171" s="44"/>
      <c r="AM171" s="44"/>
      <c r="AN171" s="44"/>
    </row>
    <row r="172" spans="16:40" x14ac:dyDescent="0.25">
      <c r="P172" s="44"/>
      <c r="Q172" s="44"/>
      <c r="R172" s="44"/>
      <c r="S172" s="44"/>
      <c r="V172" s="44"/>
      <c r="W172" s="44"/>
      <c r="X172" s="44"/>
      <c r="Y172" s="44"/>
      <c r="Z172" s="44"/>
      <c r="AA172" s="44"/>
      <c r="AB172" s="69"/>
      <c r="AC172" s="69"/>
      <c r="AD172" s="69"/>
      <c r="AH172" s="44"/>
      <c r="AI172" s="44"/>
      <c r="AJ172" s="44"/>
      <c r="AK172" s="44"/>
      <c r="AL172" s="44"/>
      <c r="AM172" s="44"/>
      <c r="AN172" s="44"/>
    </row>
    <row r="173" spans="16:40" x14ac:dyDescent="0.25">
      <c r="P173" s="44"/>
      <c r="Q173" s="44"/>
      <c r="R173" s="44"/>
      <c r="S173" s="44"/>
      <c r="V173" s="44"/>
      <c r="W173" s="44"/>
      <c r="X173" s="44"/>
      <c r="Y173" s="44"/>
      <c r="Z173" s="44"/>
      <c r="AA173" s="44"/>
      <c r="AB173" s="69"/>
      <c r="AC173" s="69"/>
      <c r="AD173" s="69"/>
      <c r="AH173" s="44"/>
      <c r="AI173" s="44"/>
      <c r="AJ173" s="44"/>
      <c r="AK173" s="44"/>
      <c r="AL173" s="44"/>
      <c r="AM173" s="44"/>
      <c r="AN173" s="44"/>
    </row>
    <row r="174" spans="16:40" x14ac:dyDescent="0.25">
      <c r="P174" s="44"/>
      <c r="Q174" s="44"/>
      <c r="R174" s="44"/>
      <c r="S174" s="44"/>
      <c r="V174" s="44"/>
      <c r="W174" s="44"/>
      <c r="X174" s="44"/>
      <c r="Y174" s="44"/>
      <c r="Z174" s="44"/>
      <c r="AA174" s="44"/>
      <c r="AB174" s="69"/>
      <c r="AC174" s="69"/>
      <c r="AD174" s="69"/>
      <c r="AH174" s="44"/>
      <c r="AI174" s="44"/>
      <c r="AJ174" s="44"/>
      <c r="AK174" s="44"/>
      <c r="AL174" s="44"/>
      <c r="AM174" s="44"/>
      <c r="AN174" s="44"/>
    </row>
    <row r="175" spans="16:40" x14ac:dyDescent="0.25">
      <c r="P175" s="44"/>
      <c r="Q175" s="44"/>
      <c r="R175" s="44"/>
      <c r="S175" s="44"/>
      <c r="V175" s="44"/>
      <c r="W175" s="44"/>
      <c r="X175" s="44"/>
      <c r="Y175" s="44"/>
      <c r="Z175" s="44"/>
      <c r="AA175" s="44"/>
      <c r="AB175" s="69"/>
      <c r="AC175" s="69"/>
      <c r="AD175" s="69"/>
      <c r="AH175" s="44"/>
      <c r="AI175" s="44"/>
      <c r="AJ175" s="44"/>
      <c r="AK175" s="44"/>
      <c r="AL175" s="44"/>
      <c r="AM175" s="44"/>
      <c r="AN175" s="44"/>
    </row>
    <row r="176" spans="16:40" x14ac:dyDescent="0.25">
      <c r="P176" s="44"/>
      <c r="Q176" s="44"/>
      <c r="R176" s="44"/>
      <c r="S176" s="44"/>
      <c r="V176" s="44"/>
      <c r="W176" s="44"/>
      <c r="X176" s="44"/>
      <c r="Y176" s="44"/>
      <c r="Z176" s="44"/>
      <c r="AA176" s="44"/>
      <c r="AB176" s="69"/>
      <c r="AC176" s="69"/>
      <c r="AD176" s="69"/>
      <c r="AH176" s="44"/>
      <c r="AI176" s="44"/>
      <c r="AJ176" s="44"/>
      <c r="AK176" s="44"/>
      <c r="AL176" s="44"/>
      <c r="AM176" s="44"/>
      <c r="AN176" s="44"/>
    </row>
    <row r="177" spans="16:40" x14ac:dyDescent="0.25">
      <c r="P177" s="44"/>
      <c r="Q177" s="44"/>
      <c r="R177" s="44"/>
      <c r="S177" s="44"/>
      <c r="V177" s="44"/>
      <c r="W177" s="44"/>
      <c r="X177" s="44"/>
      <c r="Y177" s="44"/>
      <c r="Z177" s="44"/>
      <c r="AA177" s="44"/>
      <c r="AB177" s="69"/>
      <c r="AC177" s="69"/>
      <c r="AD177" s="69"/>
      <c r="AH177" s="44"/>
      <c r="AI177" s="44"/>
      <c r="AJ177" s="44"/>
      <c r="AK177" s="44"/>
      <c r="AL177" s="44"/>
      <c r="AM177" s="44"/>
      <c r="AN177" s="44"/>
    </row>
    <row r="178" spans="16:40" x14ac:dyDescent="0.25">
      <c r="P178" s="44"/>
      <c r="Q178" s="44"/>
      <c r="R178" s="44"/>
      <c r="S178" s="44"/>
      <c r="V178" s="44"/>
      <c r="W178" s="44"/>
      <c r="X178" s="44"/>
      <c r="Y178" s="44"/>
      <c r="Z178" s="44"/>
      <c r="AA178" s="44"/>
      <c r="AB178" s="69"/>
      <c r="AC178" s="69"/>
      <c r="AD178" s="69"/>
      <c r="AH178" s="44"/>
      <c r="AI178" s="44"/>
      <c r="AJ178" s="44"/>
      <c r="AK178" s="44"/>
      <c r="AL178" s="44"/>
      <c r="AM178" s="44"/>
      <c r="AN178" s="44"/>
    </row>
    <row r="179" spans="16:40" x14ac:dyDescent="0.25">
      <c r="P179" s="44"/>
      <c r="Q179" s="44"/>
      <c r="R179" s="44"/>
      <c r="S179" s="44"/>
      <c r="V179" s="44"/>
      <c r="W179" s="44"/>
      <c r="X179" s="44"/>
      <c r="Y179" s="44"/>
      <c r="Z179" s="44"/>
      <c r="AA179" s="44"/>
      <c r="AB179" s="69"/>
      <c r="AC179" s="69"/>
      <c r="AD179" s="69"/>
      <c r="AH179" s="44"/>
      <c r="AI179" s="44"/>
      <c r="AJ179" s="44"/>
      <c r="AK179" s="44"/>
      <c r="AL179" s="44"/>
      <c r="AM179" s="44"/>
      <c r="AN179" s="44"/>
    </row>
    <row r="180" spans="16:40" x14ac:dyDescent="0.25">
      <c r="P180" s="44"/>
      <c r="Q180" s="44"/>
      <c r="R180" s="44"/>
      <c r="S180" s="44"/>
      <c r="V180" s="44"/>
      <c r="W180" s="44"/>
      <c r="X180" s="44"/>
      <c r="Y180" s="44"/>
      <c r="Z180" s="44"/>
      <c r="AA180" s="44"/>
      <c r="AB180" s="69"/>
      <c r="AC180" s="69"/>
      <c r="AD180" s="69"/>
      <c r="AH180" s="44"/>
      <c r="AI180" s="44"/>
      <c r="AJ180" s="44"/>
      <c r="AK180" s="44"/>
      <c r="AL180" s="44"/>
      <c r="AM180" s="44"/>
      <c r="AN180" s="44"/>
    </row>
    <row r="181" spans="16:40" x14ac:dyDescent="0.25">
      <c r="P181" s="44"/>
      <c r="Q181" s="44"/>
      <c r="R181" s="44"/>
      <c r="S181" s="44"/>
      <c r="V181" s="44"/>
      <c r="W181" s="44"/>
      <c r="X181" s="44"/>
      <c r="Y181" s="44"/>
      <c r="Z181" s="44"/>
      <c r="AA181" s="44"/>
      <c r="AB181" s="69"/>
      <c r="AC181" s="69"/>
      <c r="AD181" s="69"/>
      <c r="AH181" s="44"/>
      <c r="AI181" s="44"/>
      <c r="AJ181" s="44"/>
      <c r="AK181" s="44"/>
      <c r="AL181" s="44"/>
      <c r="AM181" s="44"/>
      <c r="AN181" s="44"/>
    </row>
    <row r="182" spans="16:40" x14ac:dyDescent="0.25">
      <c r="P182" s="44"/>
      <c r="Q182" s="44"/>
      <c r="R182" s="44"/>
      <c r="S182" s="44"/>
      <c r="V182" s="44"/>
      <c r="W182" s="44"/>
      <c r="X182" s="44"/>
      <c r="Y182" s="44"/>
      <c r="Z182" s="44"/>
      <c r="AA182" s="44"/>
      <c r="AB182" s="69"/>
      <c r="AC182" s="69"/>
      <c r="AD182" s="69"/>
      <c r="AH182" s="44"/>
      <c r="AI182" s="44"/>
      <c r="AJ182" s="44"/>
      <c r="AK182" s="44"/>
      <c r="AL182" s="44"/>
      <c r="AM182" s="44"/>
      <c r="AN182" s="44"/>
    </row>
    <row r="183" spans="16:40" x14ac:dyDescent="0.25">
      <c r="P183" s="44"/>
      <c r="Q183" s="44"/>
      <c r="R183" s="44"/>
      <c r="S183" s="44"/>
      <c r="V183" s="44"/>
      <c r="W183" s="44"/>
      <c r="X183" s="44"/>
      <c r="Y183" s="44"/>
      <c r="Z183" s="44"/>
      <c r="AA183" s="44"/>
      <c r="AB183" s="69"/>
      <c r="AC183" s="69"/>
      <c r="AD183" s="69"/>
      <c r="AH183" s="44"/>
      <c r="AI183" s="44"/>
      <c r="AJ183" s="44"/>
      <c r="AK183" s="44"/>
      <c r="AL183" s="44"/>
      <c r="AM183" s="44"/>
      <c r="AN183" s="44"/>
    </row>
    <row r="184" spans="16:40" x14ac:dyDescent="0.25">
      <c r="P184" s="44"/>
      <c r="Q184" s="44"/>
      <c r="R184" s="44"/>
      <c r="S184" s="44"/>
      <c r="V184" s="44"/>
      <c r="W184" s="44"/>
      <c r="X184" s="44"/>
      <c r="Y184" s="44"/>
      <c r="Z184" s="44"/>
      <c r="AA184" s="44"/>
      <c r="AB184" s="69"/>
      <c r="AC184" s="69"/>
      <c r="AD184" s="69"/>
      <c r="AH184" s="44"/>
      <c r="AI184" s="44"/>
      <c r="AJ184" s="44"/>
      <c r="AK184" s="44"/>
      <c r="AL184" s="44"/>
      <c r="AM184" s="44"/>
      <c r="AN184" s="44"/>
    </row>
    <row r="185" spans="16:40" x14ac:dyDescent="0.25">
      <c r="P185" s="44"/>
      <c r="Q185" s="44"/>
      <c r="R185" s="44"/>
      <c r="S185" s="44"/>
      <c r="V185" s="44"/>
      <c r="W185" s="44"/>
      <c r="X185" s="44"/>
      <c r="Y185" s="44"/>
      <c r="Z185" s="44"/>
      <c r="AA185" s="44"/>
      <c r="AB185" s="69"/>
      <c r="AC185" s="69"/>
      <c r="AD185" s="69"/>
      <c r="AH185" s="44"/>
      <c r="AI185" s="44"/>
      <c r="AJ185" s="44"/>
      <c r="AK185" s="44"/>
      <c r="AL185" s="44"/>
      <c r="AM185" s="44"/>
      <c r="AN185" s="44"/>
    </row>
    <row r="186" spans="16:40" x14ac:dyDescent="0.25">
      <c r="P186" s="44"/>
      <c r="Q186" s="44"/>
      <c r="R186" s="44"/>
      <c r="S186" s="44"/>
      <c r="V186" s="44"/>
      <c r="W186" s="44"/>
      <c r="X186" s="44"/>
      <c r="Y186" s="44"/>
      <c r="Z186" s="44"/>
      <c r="AA186" s="44"/>
      <c r="AB186" s="69"/>
      <c r="AC186" s="69"/>
      <c r="AD186" s="69"/>
      <c r="AH186" s="44"/>
      <c r="AI186" s="44"/>
      <c r="AJ186" s="44"/>
      <c r="AK186" s="44"/>
      <c r="AL186" s="44"/>
      <c r="AM186" s="44"/>
      <c r="AN186" s="44"/>
    </row>
    <row r="187" spans="16:40" x14ac:dyDescent="0.25">
      <c r="P187" s="44"/>
      <c r="Q187" s="44"/>
      <c r="R187" s="44"/>
      <c r="S187" s="44"/>
      <c r="V187" s="44"/>
      <c r="W187" s="44"/>
      <c r="X187" s="44"/>
      <c r="Y187" s="44"/>
      <c r="Z187" s="44"/>
      <c r="AA187" s="44"/>
      <c r="AB187" s="69"/>
      <c r="AC187" s="69"/>
      <c r="AD187" s="69"/>
      <c r="AH187" s="44"/>
      <c r="AI187" s="44"/>
      <c r="AJ187" s="44"/>
      <c r="AK187" s="44"/>
      <c r="AL187" s="44"/>
      <c r="AM187" s="44"/>
      <c r="AN187" s="44"/>
    </row>
    <row r="188" spans="16:40" x14ac:dyDescent="0.25">
      <c r="P188" s="44"/>
      <c r="Q188" s="44"/>
      <c r="R188" s="44"/>
      <c r="S188" s="44"/>
      <c r="V188" s="44"/>
      <c r="W188" s="44"/>
      <c r="X188" s="44"/>
      <c r="Y188" s="44"/>
      <c r="Z188" s="44"/>
      <c r="AA188" s="44"/>
      <c r="AB188" s="69"/>
      <c r="AC188" s="69"/>
      <c r="AD188" s="69"/>
      <c r="AH188" s="44"/>
      <c r="AI188" s="44"/>
      <c r="AJ188" s="44"/>
      <c r="AK188" s="44"/>
      <c r="AL188" s="44"/>
      <c r="AM188" s="44"/>
      <c r="AN188" s="44"/>
    </row>
    <row r="189" spans="16:40" x14ac:dyDescent="0.25">
      <c r="P189" s="44"/>
      <c r="Q189" s="44"/>
      <c r="R189" s="44"/>
      <c r="S189" s="44"/>
      <c r="V189" s="44"/>
      <c r="W189" s="44"/>
      <c r="X189" s="44"/>
      <c r="Y189" s="44"/>
      <c r="Z189" s="44"/>
      <c r="AA189" s="44"/>
      <c r="AB189" s="69"/>
      <c r="AC189" s="69"/>
      <c r="AD189" s="69"/>
      <c r="AH189" s="44"/>
      <c r="AI189" s="44"/>
      <c r="AJ189" s="44"/>
      <c r="AK189" s="44"/>
      <c r="AL189" s="44"/>
      <c r="AM189" s="44"/>
      <c r="AN189" s="44"/>
    </row>
    <row r="190" spans="16:40" x14ac:dyDescent="0.25">
      <c r="P190" s="44"/>
      <c r="Q190" s="44"/>
      <c r="R190" s="44"/>
      <c r="S190" s="44"/>
      <c r="V190" s="44"/>
      <c r="W190" s="44"/>
      <c r="X190" s="44"/>
      <c r="Y190" s="44"/>
      <c r="Z190" s="44"/>
      <c r="AA190" s="44"/>
      <c r="AB190" s="69"/>
      <c r="AC190" s="69"/>
      <c r="AD190" s="69"/>
      <c r="AH190" s="44"/>
      <c r="AI190" s="44"/>
      <c r="AJ190" s="44"/>
      <c r="AK190" s="44"/>
      <c r="AL190" s="44"/>
      <c r="AM190" s="44"/>
      <c r="AN190" s="44"/>
    </row>
    <row r="191" spans="16:40" x14ac:dyDescent="0.25">
      <c r="P191" s="44"/>
      <c r="Q191" s="44"/>
      <c r="R191" s="44"/>
      <c r="S191" s="44"/>
      <c r="V191" s="44"/>
      <c r="W191" s="44"/>
      <c r="X191" s="44"/>
      <c r="Y191" s="44"/>
      <c r="Z191" s="44"/>
      <c r="AA191" s="44"/>
      <c r="AB191" s="69"/>
      <c r="AC191" s="69"/>
      <c r="AD191" s="69"/>
      <c r="AH191" s="44"/>
      <c r="AI191" s="44"/>
      <c r="AJ191" s="44"/>
      <c r="AK191" s="44"/>
      <c r="AL191" s="44"/>
      <c r="AM191" s="44"/>
      <c r="AN191" s="44"/>
    </row>
    <row r="192" spans="16:40" x14ac:dyDescent="0.25">
      <c r="P192" s="44"/>
      <c r="Q192" s="44"/>
      <c r="R192" s="44"/>
      <c r="S192" s="44"/>
      <c r="V192" s="44"/>
      <c r="W192" s="44"/>
      <c r="X192" s="44"/>
      <c r="Y192" s="44"/>
      <c r="Z192" s="44"/>
      <c r="AA192" s="44"/>
      <c r="AB192" s="69"/>
      <c r="AC192" s="69"/>
      <c r="AD192" s="69"/>
      <c r="AH192" s="44"/>
      <c r="AI192" s="44"/>
      <c r="AJ192" s="44"/>
      <c r="AK192" s="44"/>
      <c r="AL192" s="44"/>
      <c r="AM192" s="44"/>
      <c r="AN192" s="44"/>
    </row>
    <row r="193" spans="16:40" x14ac:dyDescent="0.25">
      <c r="P193" s="44"/>
      <c r="Q193" s="44"/>
      <c r="R193" s="44"/>
      <c r="S193" s="44"/>
      <c r="V193" s="44"/>
      <c r="W193" s="44"/>
      <c r="X193" s="44"/>
      <c r="Y193" s="44"/>
      <c r="Z193" s="44"/>
      <c r="AA193" s="44"/>
      <c r="AB193" s="69"/>
      <c r="AC193" s="69"/>
      <c r="AD193" s="69"/>
      <c r="AH193" s="44"/>
      <c r="AI193" s="44"/>
      <c r="AJ193" s="44"/>
      <c r="AK193" s="44"/>
      <c r="AL193" s="44"/>
      <c r="AM193" s="44"/>
      <c r="AN193" s="44"/>
    </row>
    <row r="194" spans="16:40" x14ac:dyDescent="0.25">
      <c r="P194" s="44"/>
      <c r="Q194" s="44"/>
      <c r="R194" s="44"/>
      <c r="S194" s="44"/>
      <c r="V194" s="44"/>
      <c r="W194" s="44"/>
      <c r="X194" s="44"/>
      <c r="Y194" s="44"/>
      <c r="Z194" s="44"/>
      <c r="AA194" s="44"/>
      <c r="AB194" s="69"/>
      <c r="AC194" s="69"/>
      <c r="AD194" s="69"/>
      <c r="AH194" s="44"/>
      <c r="AI194" s="44"/>
      <c r="AJ194" s="44"/>
      <c r="AK194" s="44"/>
      <c r="AL194" s="44"/>
      <c r="AM194" s="44"/>
      <c r="AN194" s="44"/>
    </row>
    <row r="195" spans="16:40" x14ac:dyDescent="0.25">
      <c r="P195" s="44"/>
      <c r="Q195" s="44"/>
      <c r="R195" s="44"/>
      <c r="S195" s="44"/>
      <c r="V195" s="44"/>
      <c r="W195" s="44"/>
      <c r="X195" s="44"/>
      <c r="Y195" s="44"/>
      <c r="Z195" s="44"/>
      <c r="AA195" s="44"/>
      <c r="AB195" s="69"/>
      <c r="AC195" s="69"/>
      <c r="AD195" s="69"/>
      <c r="AH195" s="44"/>
      <c r="AI195" s="44"/>
      <c r="AJ195" s="44"/>
      <c r="AK195" s="44"/>
      <c r="AL195" s="44"/>
      <c r="AM195" s="44"/>
      <c r="AN195" s="44"/>
    </row>
    <row r="196" spans="16:40" x14ac:dyDescent="0.25">
      <c r="P196" s="44"/>
      <c r="Q196" s="44"/>
      <c r="R196" s="44"/>
      <c r="S196" s="44"/>
      <c r="V196" s="44"/>
      <c r="W196" s="44"/>
      <c r="X196" s="44"/>
      <c r="Y196" s="44"/>
      <c r="Z196" s="44"/>
      <c r="AA196" s="44"/>
      <c r="AB196" s="69"/>
      <c r="AC196" s="69"/>
      <c r="AD196" s="69"/>
      <c r="AH196" s="44"/>
      <c r="AI196" s="44"/>
      <c r="AJ196" s="44"/>
      <c r="AK196" s="44"/>
      <c r="AL196" s="44"/>
      <c r="AM196" s="44"/>
      <c r="AN196" s="44"/>
    </row>
    <row r="197" spans="16:40" x14ac:dyDescent="0.25">
      <c r="P197" s="44"/>
      <c r="Q197" s="44"/>
      <c r="R197" s="44"/>
      <c r="S197" s="44"/>
      <c r="V197" s="44"/>
      <c r="W197" s="44"/>
      <c r="X197" s="44"/>
      <c r="Y197" s="44"/>
      <c r="Z197" s="44"/>
      <c r="AA197" s="44"/>
      <c r="AB197" s="69"/>
      <c r="AC197" s="69"/>
      <c r="AD197" s="69"/>
      <c r="AH197" s="44"/>
      <c r="AI197" s="44"/>
      <c r="AJ197" s="44"/>
      <c r="AK197" s="44"/>
      <c r="AL197" s="44"/>
      <c r="AM197" s="44"/>
      <c r="AN197" s="44"/>
    </row>
    <row r="198" spans="16:40" x14ac:dyDescent="0.25">
      <c r="P198" s="44"/>
      <c r="Q198" s="44"/>
      <c r="R198" s="44"/>
      <c r="S198" s="44"/>
      <c r="V198" s="44"/>
      <c r="W198" s="44"/>
      <c r="X198" s="44"/>
      <c r="Y198" s="44"/>
      <c r="Z198" s="44"/>
      <c r="AA198" s="44"/>
      <c r="AB198" s="69"/>
      <c r="AC198" s="69"/>
      <c r="AD198" s="69"/>
      <c r="AH198" s="44"/>
      <c r="AI198" s="44"/>
      <c r="AJ198" s="44"/>
      <c r="AK198" s="44"/>
      <c r="AL198" s="44"/>
      <c r="AM198" s="44"/>
      <c r="AN198" s="44"/>
    </row>
    <row r="199" spans="16:40" x14ac:dyDescent="0.25">
      <c r="P199" s="44"/>
      <c r="Q199" s="44"/>
      <c r="R199" s="44"/>
      <c r="S199" s="44"/>
      <c r="V199" s="44"/>
      <c r="W199" s="44"/>
      <c r="X199" s="44"/>
      <c r="Y199" s="44"/>
      <c r="Z199" s="44"/>
      <c r="AA199" s="44"/>
      <c r="AB199" s="69"/>
      <c r="AC199" s="69"/>
      <c r="AD199" s="69"/>
      <c r="AH199" s="44"/>
      <c r="AI199" s="44"/>
      <c r="AJ199" s="44"/>
      <c r="AK199" s="44"/>
      <c r="AL199" s="44"/>
      <c r="AM199" s="44"/>
      <c r="AN199" s="44"/>
    </row>
    <row r="200" spans="16:40" x14ac:dyDescent="0.25">
      <c r="P200" s="44"/>
      <c r="Q200" s="44"/>
      <c r="R200" s="44"/>
      <c r="S200" s="44"/>
      <c r="V200" s="44"/>
      <c r="W200" s="44"/>
      <c r="X200" s="44"/>
      <c r="Y200" s="44"/>
      <c r="Z200" s="44"/>
      <c r="AA200" s="44"/>
      <c r="AB200" s="69"/>
      <c r="AC200" s="69"/>
      <c r="AD200" s="69"/>
      <c r="AH200" s="44"/>
      <c r="AI200" s="44"/>
      <c r="AJ200" s="44"/>
      <c r="AK200" s="44"/>
      <c r="AL200" s="44"/>
      <c r="AM200" s="44"/>
      <c r="AN200" s="44"/>
    </row>
    <row r="201" spans="16:40" x14ac:dyDescent="0.25">
      <c r="P201" s="44"/>
      <c r="Q201" s="44"/>
      <c r="R201" s="44"/>
      <c r="S201" s="44"/>
      <c r="V201" s="44"/>
      <c r="W201" s="44"/>
      <c r="X201" s="44"/>
      <c r="Y201" s="44"/>
      <c r="Z201" s="44"/>
      <c r="AA201" s="44"/>
      <c r="AB201" s="69"/>
      <c r="AC201" s="69"/>
      <c r="AD201" s="69"/>
      <c r="AH201" s="44"/>
      <c r="AI201" s="44"/>
      <c r="AJ201" s="44"/>
      <c r="AK201" s="44"/>
      <c r="AL201" s="44"/>
      <c r="AM201" s="44"/>
      <c r="AN201" s="44"/>
    </row>
    <row r="202" spans="16:40" x14ac:dyDescent="0.25">
      <c r="P202" s="44"/>
      <c r="Q202" s="44"/>
      <c r="R202" s="44"/>
      <c r="S202" s="44"/>
      <c r="V202" s="44"/>
      <c r="W202" s="44"/>
      <c r="X202" s="44"/>
      <c r="Y202" s="44"/>
      <c r="Z202" s="44"/>
      <c r="AA202" s="44"/>
      <c r="AB202" s="69"/>
      <c r="AC202" s="69"/>
      <c r="AD202" s="69"/>
      <c r="AH202" s="44"/>
      <c r="AI202" s="44"/>
      <c r="AJ202" s="44"/>
      <c r="AK202" s="44"/>
      <c r="AL202" s="44"/>
      <c r="AM202" s="44"/>
      <c r="AN202" s="44"/>
    </row>
    <row r="203" spans="16:40" x14ac:dyDescent="0.25">
      <c r="P203" s="44"/>
      <c r="Q203" s="44"/>
      <c r="R203" s="44"/>
      <c r="S203" s="44"/>
      <c r="V203" s="44"/>
      <c r="W203" s="44"/>
      <c r="X203" s="44"/>
      <c r="Y203" s="44"/>
      <c r="Z203" s="44"/>
      <c r="AA203" s="44"/>
      <c r="AB203" s="69"/>
      <c r="AC203" s="69"/>
      <c r="AD203" s="69"/>
      <c r="AH203" s="44"/>
      <c r="AI203" s="44"/>
      <c r="AJ203" s="44"/>
      <c r="AK203" s="44"/>
      <c r="AL203" s="44"/>
      <c r="AM203" s="44"/>
      <c r="AN203" s="44"/>
    </row>
    <row r="204" spans="16:40" x14ac:dyDescent="0.25">
      <c r="P204" s="44"/>
      <c r="Q204" s="44"/>
      <c r="R204" s="44"/>
      <c r="S204" s="44"/>
      <c r="V204" s="44"/>
      <c r="W204" s="44"/>
      <c r="X204" s="44"/>
      <c r="Y204" s="44"/>
      <c r="Z204" s="44"/>
      <c r="AA204" s="44"/>
      <c r="AB204" s="69"/>
      <c r="AC204" s="69"/>
      <c r="AD204" s="69"/>
      <c r="AH204" s="44"/>
      <c r="AI204" s="44"/>
      <c r="AJ204" s="44"/>
      <c r="AK204" s="44"/>
      <c r="AL204" s="44"/>
      <c r="AM204" s="44"/>
      <c r="AN204" s="44"/>
    </row>
    <row r="205" spans="16:40" x14ac:dyDescent="0.25">
      <c r="P205" s="44"/>
      <c r="Q205" s="44"/>
      <c r="R205" s="44"/>
      <c r="S205" s="44"/>
      <c r="V205" s="44"/>
      <c r="W205" s="44"/>
      <c r="X205" s="44"/>
      <c r="Y205" s="44"/>
      <c r="Z205" s="44"/>
      <c r="AA205" s="44"/>
      <c r="AB205" s="69"/>
      <c r="AC205" s="69"/>
      <c r="AD205" s="69"/>
      <c r="AH205" s="44"/>
      <c r="AI205" s="44"/>
      <c r="AJ205" s="44"/>
      <c r="AK205" s="44"/>
      <c r="AL205" s="44"/>
      <c r="AM205" s="44"/>
      <c r="AN205" s="44"/>
    </row>
    <row r="206" spans="16:40" x14ac:dyDescent="0.25">
      <c r="P206" s="44"/>
      <c r="Q206" s="44"/>
      <c r="R206" s="44"/>
      <c r="S206" s="44"/>
      <c r="V206" s="44"/>
      <c r="W206" s="44"/>
      <c r="X206" s="44"/>
      <c r="Y206" s="44"/>
      <c r="Z206" s="44"/>
      <c r="AA206" s="44"/>
      <c r="AB206" s="69"/>
      <c r="AC206" s="69"/>
      <c r="AD206" s="69"/>
      <c r="AH206" s="44"/>
      <c r="AI206" s="44"/>
      <c r="AJ206" s="44"/>
      <c r="AK206" s="44"/>
      <c r="AL206" s="44"/>
      <c r="AM206" s="44"/>
      <c r="AN206" s="44"/>
    </row>
    <row r="207" spans="16:40" x14ac:dyDescent="0.25">
      <c r="P207" s="44"/>
      <c r="Q207" s="44"/>
      <c r="R207" s="44"/>
      <c r="S207" s="44"/>
      <c r="V207" s="44"/>
      <c r="W207" s="44"/>
      <c r="X207" s="44"/>
      <c r="Y207" s="44"/>
      <c r="Z207" s="44"/>
      <c r="AA207" s="44"/>
      <c r="AB207" s="69"/>
      <c r="AC207" s="69"/>
      <c r="AD207" s="69"/>
      <c r="AH207" s="44"/>
      <c r="AI207" s="44"/>
      <c r="AJ207" s="44"/>
      <c r="AK207" s="44"/>
      <c r="AL207" s="44"/>
      <c r="AM207" s="44"/>
      <c r="AN207" s="44"/>
    </row>
    <row r="208" spans="16:40" x14ac:dyDescent="0.25">
      <c r="P208" s="44"/>
      <c r="Q208" s="44"/>
      <c r="R208" s="44"/>
      <c r="S208" s="44"/>
      <c r="V208" s="44"/>
      <c r="W208" s="44"/>
      <c r="X208" s="44"/>
      <c r="Y208" s="44"/>
      <c r="Z208" s="44"/>
      <c r="AA208" s="44"/>
      <c r="AB208" s="69"/>
      <c r="AC208" s="69"/>
      <c r="AD208" s="69"/>
      <c r="AH208" s="44"/>
      <c r="AI208" s="44"/>
      <c r="AJ208" s="44"/>
      <c r="AK208" s="44"/>
      <c r="AL208" s="44"/>
      <c r="AM208" s="44"/>
      <c r="AN208" s="44"/>
    </row>
    <row r="209" spans="16:40" x14ac:dyDescent="0.25">
      <c r="P209" s="44"/>
      <c r="Q209" s="44"/>
      <c r="R209" s="44"/>
      <c r="S209" s="44"/>
      <c r="V209" s="44"/>
      <c r="W209" s="44"/>
      <c r="X209" s="44"/>
      <c r="Y209" s="44"/>
      <c r="Z209" s="44"/>
      <c r="AA209" s="44"/>
      <c r="AB209" s="69"/>
      <c r="AC209" s="69"/>
      <c r="AD209" s="69"/>
      <c r="AH209" s="44"/>
      <c r="AI209" s="44"/>
      <c r="AJ209" s="44"/>
      <c r="AK209" s="44"/>
      <c r="AL209" s="44"/>
      <c r="AM209" s="44"/>
      <c r="AN209" s="44"/>
    </row>
    <row r="210" spans="16:40" x14ac:dyDescent="0.25">
      <c r="P210" s="44"/>
      <c r="Q210" s="44"/>
      <c r="R210" s="44"/>
      <c r="S210" s="44"/>
      <c r="V210" s="44"/>
      <c r="W210" s="44"/>
      <c r="X210" s="44"/>
      <c r="Y210" s="44"/>
      <c r="Z210" s="44"/>
      <c r="AA210" s="44"/>
      <c r="AB210" s="69"/>
      <c r="AC210" s="69"/>
      <c r="AD210" s="69"/>
      <c r="AH210" s="44"/>
      <c r="AI210" s="44"/>
      <c r="AJ210" s="44"/>
      <c r="AK210" s="44"/>
      <c r="AL210" s="44"/>
      <c r="AM210" s="44"/>
      <c r="AN210" s="44"/>
    </row>
    <row r="211" spans="16:40" x14ac:dyDescent="0.25">
      <c r="P211" s="44"/>
      <c r="Q211" s="44"/>
      <c r="R211" s="44"/>
      <c r="S211" s="44"/>
      <c r="V211" s="44"/>
      <c r="W211" s="44"/>
      <c r="X211" s="44"/>
      <c r="Y211" s="44"/>
      <c r="Z211" s="44"/>
      <c r="AA211" s="44"/>
      <c r="AB211" s="69"/>
      <c r="AC211" s="69"/>
      <c r="AD211" s="69"/>
      <c r="AH211" s="44"/>
      <c r="AI211" s="44"/>
      <c r="AJ211" s="44"/>
      <c r="AK211" s="44"/>
      <c r="AL211" s="44"/>
      <c r="AM211" s="44"/>
      <c r="AN211" s="44"/>
    </row>
    <row r="212" spans="16:40" x14ac:dyDescent="0.25">
      <c r="P212" s="44"/>
      <c r="Q212" s="44"/>
      <c r="R212" s="44"/>
      <c r="S212" s="44"/>
      <c r="V212" s="44"/>
      <c r="W212" s="44"/>
      <c r="X212" s="44"/>
      <c r="Y212" s="44"/>
      <c r="Z212" s="44"/>
      <c r="AA212" s="44"/>
      <c r="AB212" s="69"/>
      <c r="AC212" s="69"/>
      <c r="AD212" s="69"/>
      <c r="AH212" s="44"/>
      <c r="AI212" s="44"/>
      <c r="AJ212" s="44"/>
      <c r="AK212" s="44"/>
      <c r="AL212" s="44"/>
      <c r="AM212" s="44"/>
      <c r="AN212" s="44"/>
    </row>
    <row r="213" spans="16:40" x14ac:dyDescent="0.25">
      <c r="P213" s="44"/>
      <c r="Q213" s="44"/>
      <c r="R213" s="44"/>
      <c r="S213" s="44"/>
      <c r="V213" s="44"/>
      <c r="W213" s="44"/>
      <c r="X213" s="44"/>
      <c r="Y213" s="44"/>
      <c r="Z213" s="44"/>
      <c r="AA213" s="44"/>
      <c r="AB213" s="69"/>
      <c r="AC213" s="69"/>
      <c r="AD213" s="69"/>
      <c r="AH213" s="44"/>
      <c r="AI213" s="44"/>
      <c r="AJ213" s="44"/>
      <c r="AK213" s="44"/>
      <c r="AL213" s="44"/>
      <c r="AM213" s="44"/>
      <c r="AN213" s="44"/>
    </row>
    <row r="214" spans="16:40" x14ac:dyDescent="0.25">
      <c r="P214" s="44"/>
      <c r="Q214" s="44"/>
      <c r="R214" s="44"/>
      <c r="S214" s="44"/>
      <c r="V214" s="44"/>
      <c r="W214" s="44"/>
      <c r="X214" s="44"/>
      <c r="Y214" s="44"/>
      <c r="Z214" s="44"/>
      <c r="AA214" s="44"/>
      <c r="AB214" s="69"/>
      <c r="AC214" s="69"/>
      <c r="AD214" s="69"/>
      <c r="AH214" s="44"/>
      <c r="AI214" s="44"/>
      <c r="AJ214" s="44"/>
      <c r="AK214" s="44"/>
      <c r="AL214" s="44"/>
      <c r="AM214" s="44"/>
      <c r="AN214" s="44"/>
    </row>
    <row r="215" spans="16:40" x14ac:dyDescent="0.25">
      <c r="P215" s="44"/>
      <c r="Q215" s="44"/>
      <c r="R215" s="44"/>
      <c r="S215" s="44"/>
      <c r="V215" s="44"/>
      <c r="W215" s="44"/>
      <c r="X215" s="44"/>
      <c r="Y215" s="44"/>
      <c r="Z215" s="44"/>
      <c r="AA215" s="44"/>
      <c r="AB215" s="69"/>
      <c r="AC215" s="69"/>
      <c r="AD215" s="69"/>
      <c r="AH215" s="44"/>
      <c r="AI215" s="44"/>
      <c r="AJ215" s="44"/>
      <c r="AK215" s="44"/>
      <c r="AL215" s="44"/>
      <c r="AM215" s="44"/>
      <c r="AN215" s="44"/>
    </row>
    <row r="216" spans="16:40" x14ac:dyDescent="0.25">
      <c r="P216" s="44"/>
      <c r="Q216" s="44"/>
      <c r="R216" s="44"/>
      <c r="S216" s="44"/>
      <c r="V216" s="44"/>
      <c r="W216" s="44"/>
      <c r="X216" s="44"/>
      <c r="Y216" s="44"/>
      <c r="Z216" s="44"/>
      <c r="AA216" s="44"/>
      <c r="AB216" s="69"/>
      <c r="AC216" s="69"/>
      <c r="AD216" s="69"/>
      <c r="AH216" s="44"/>
      <c r="AI216" s="44"/>
      <c r="AJ216" s="44"/>
      <c r="AK216" s="44"/>
      <c r="AL216" s="44"/>
      <c r="AM216" s="44"/>
      <c r="AN216" s="44"/>
    </row>
    <row r="217" spans="16:40" x14ac:dyDescent="0.25">
      <c r="P217" s="44"/>
      <c r="Q217" s="44"/>
      <c r="R217" s="44"/>
      <c r="S217" s="44"/>
      <c r="V217" s="44"/>
      <c r="W217" s="44"/>
      <c r="X217" s="44"/>
      <c r="Y217" s="44"/>
      <c r="Z217" s="44"/>
      <c r="AA217" s="44"/>
      <c r="AB217" s="69"/>
      <c r="AC217" s="69"/>
      <c r="AD217" s="69"/>
      <c r="AH217" s="44"/>
      <c r="AI217" s="44"/>
      <c r="AJ217" s="44"/>
      <c r="AK217" s="44"/>
      <c r="AL217" s="44"/>
      <c r="AM217" s="44"/>
      <c r="AN217" s="44"/>
    </row>
    <row r="218" spans="16:40" x14ac:dyDescent="0.25">
      <c r="P218" s="44"/>
      <c r="Q218" s="44"/>
      <c r="R218" s="44"/>
      <c r="S218" s="44"/>
      <c r="V218" s="44"/>
      <c r="W218" s="44"/>
      <c r="X218" s="44"/>
      <c r="Y218" s="44"/>
      <c r="Z218" s="44"/>
      <c r="AA218" s="44"/>
      <c r="AB218" s="69"/>
      <c r="AC218" s="69"/>
      <c r="AD218" s="69"/>
      <c r="AH218" s="44"/>
      <c r="AI218" s="44"/>
      <c r="AJ218" s="44"/>
      <c r="AK218" s="44"/>
      <c r="AL218" s="44"/>
      <c r="AM218" s="44"/>
      <c r="AN218" s="44"/>
    </row>
    <row r="219" spans="16:40" x14ac:dyDescent="0.25">
      <c r="P219" s="44"/>
      <c r="Q219" s="44"/>
      <c r="R219" s="44"/>
      <c r="S219" s="44"/>
      <c r="V219" s="44"/>
      <c r="W219" s="44"/>
      <c r="X219" s="44"/>
      <c r="Y219" s="44"/>
      <c r="Z219" s="44"/>
      <c r="AA219" s="44"/>
      <c r="AB219" s="69"/>
      <c r="AC219" s="69"/>
      <c r="AD219" s="69"/>
      <c r="AH219" s="44"/>
      <c r="AI219" s="44"/>
      <c r="AJ219" s="44"/>
      <c r="AK219" s="44"/>
      <c r="AL219" s="44"/>
      <c r="AM219" s="44"/>
      <c r="AN219" s="44"/>
    </row>
    <row r="220" spans="16:40" x14ac:dyDescent="0.25">
      <c r="P220" s="44"/>
      <c r="Q220" s="44"/>
      <c r="R220" s="44"/>
      <c r="S220" s="44"/>
      <c r="V220" s="44"/>
      <c r="W220" s="44"/>
      <c r="X220" s="44"/>
      <c r="Y220" s="44"/>
      <c r="Z220" s="44"/>
      <c r="AA220" s="44"/>
      <c r="AB220" s="69"/>
      <c r="AC220" s="69"/>
      <c r="AD220" s="69"/>
      <c r="AH220" s="44"/>
      <c r="AI220" s="44"/>
      <c r="AJ220" s="44"/>
      <c r="AK220" s="44"/>
      <c r="AL220" s="44"/>
      <c r="AM220" s="44"/>
      <c r="AN220" s="44"/>
    </row>
    <row r="221" spans="16:40" x14ac:dyDescent="0.25">
      <c r="P221" s="44"/>
      <c r="Q221" s="44"/>
      <c r="R221" s="44"/>
      <c r="S221" s="44"/>
      <c r="V221" s="44"/>
      <c r="W221" s="44"/>
      <c r="X221" s="44"/>
      <c r="Y221" s="44"/>
      <c r="Z221" s="44"/>
      <c r="AA221" s="44"/>
      <c r="AB221" s="69"/>
      <c r="AC221" s="69"/>
      <c r="AD221" s="69"/>
      <c r="AH221" s="44"/>
      <c r="AI221" s="44"/>
      <c r="AJ221" s="44"/>
      <c r="AK221" s="44"/>
      <c r="AL221" s="44"/>
      <c r="AM221" s="44"/>
      <c r="AN221" s="44"/>
    </row>
    <row r="222" spans="16:40" x14ac:dyDescent="0.25">
      <c r="P222" s="44"/>
      <c r="Q222" s="44"/>
      <c r="R222" s="44"/>
      <c r="S222" s="44"/>
      <c r="V222" s="44"/>
      <c r="W222" s="44"/>
      <c r="X222" s="44"/>
      <c r="Y222" s="44"/>
      <c r="Z222" s="44"/>
      <c r="AA222" s="44"/>
      <c r="AB222" s="69"/>
      <c r="AC222" s="69"/>
      <c r="AD222" s="69"/>
      <c r="AH222" s="44"/>
      <c r="AI222" s="44"/>
      <c r="AJ222" s="44"/>
      <c r="AK222" s="44"/>
      <c r="AL222" s="44"/>
      <c r="AM222" s="44"/>
      <c r="AN222" s="44"/>
    </row>
    <row r="223" spans="16:40" x14ac:dyDescent="0.25">
      <c r="P223" s="44"/>
      <c r="Q223" s="44"/>
      <c r="R223" s="44"/>
      <c r="S223" s="44"/>
      <c r="V223" s="44"/>
      <c r="W223" s="44"/>
      <c r="X223" s="44"/>
      <c r="Y223" s="44"/>
      <c r="Z223" s="44"/>
      <c r="AA223" s="44"/>
      <c r="AB223" s="69"/>
      <c r="AC223" s="69"/>
      <c r="AD223" s="69"/>
      <c r="AH223" s="44"/>
      <c r="AI223" s="44"/>
      <c r="AJ223" s="44"/>
      <c r="AK223" s="44"/>
      <c r="AL223" s="44"/>
      <c r="AM223" s="44"/>
      <c r="AN223" s="44"/>
    </row>
    <row r="224" spans="16:40" x14ac:dyDescent="0.25">
      <c r="P224" s="44"/>
      <c r="Q224" s="44"/>
      <c r="R224" s="44"/>
      <c r="S224" s="44"/>
      <c r="V224" s="44"/>
      <c r="W224" s="44"/>
      <c r="X224" s="44"/>
      <c r="Y224" s="44"/>
      <c r="Z224" s="44"/>
      <c r="AA224" s="44"/>
      <c r="AB224" s="69"/>
      <c r="AC224" s="69"/>
      <c r="AD224" s="69"/>
      <c r="AH224" s="44"/>
      <c r="AI224" s="44"/>
      <c r="AJ224" s="44"/>
      <c r="AK224" s="44"/>
      <c r="AL224" s="44"/>
      <c r="AM224" s="44"/>
      <c r="AN224" s="44"/>
    </row>
    <row r="225" spans="16:40" x14ac:dyDescent="0.25">
      <c r="P225" s="44"/>
      <c r="Q225" s="44"/>
      <c r="R225" s="44"/>
      <c r="S225" s="44"/>
      <c r="V225" s="44"/>
      <c r="W225" s="44"/>
      <c r="X225" s="44"/>
      <c r="Y225" s="44"/>
      <c r="Z225" s="44"/>
      <c r="AA225" s="44"/>
      <c r="AB225" s="69"/>
      <c r="AC225" s="69"/>
      <c r="AD225" s="69"/>
      <c r="AH225" s="44"/>
      <c r="AI225" s="44"/>
      <c r="AJ225" s="44"/>
      <c r="AK225" s="44"/>
      <c r="AL225" s="44"/>
      <c r="AM225" s="44"/>
      <c r="AN225" s="44"/>
    </row>
    <row r="226" spans="16:40" x14ac:dyDescent="0.25">
      <c r="P226" s="44"/>
      <c r="Q226" s="44"/>
      <c r="R226" s="44"/>
      <c r="S226" s="44"/>
      <c r="V226" s="44"/>
      <c r="W226" s="44"/>
      <c r="X226" s="44"/>
      <c r="Y226" s="44"/>
      <c r="Z226" s="44"/>
      <c r="AA226" s="44"/>
      <c r="AB226" s="69"/>
      <c r="AC226" s="69"/>
      <c r="AD226" s="69"/>
      <c r="AH226" s="44"/>
      <c r="AI226" s="44"/>
      <c r="AJ226" s="44"/>
      <c r="AK226" s="44"/>
      <c r="AL226" s="44"/>
      <c r="AM226" s="44"/>
      <c r="AN226" s="44"/>
    </row>
    <row r="227" spans="16:40" x14ac:dyDescent="0.25">
      <c r="P227" s="44"/>
      <c r="Q227" s="44"/>
      <c r="R227" s="44"/>
      <c r="S227" s="44"/>
      <c r="V227" s="44"/>
      <c r="W227" s="44"/>
      <c r="X227" s="44"/>
      <c r="Y227" s="44"/>
      <c r="Z227" s="44"/>
      <c r="AA227" s="44"/>
      <c r="AB227" s="69"/>
      <c r="AC227" s="69"/>
      <c r="AD227" s="69"/>
      <c r="AH227" s="44"/>
      <c r="AI227" s="44"/>
      <c r="AJ227" s="44"/>
      <c r="AK227" s="44"/>
      <c r="AL227" s="44"/>
      <c r="AM227" s="44"/>
      <c r="AN227" s="44"/>
    </row>
    <row r="228" spans="16:40" x14ac:dyDescent="0.25">
      <c r="P228" s="44"/>
      <c r="Q228" s="44"/>
      <c r="R228" s="44"/>
      <c r="S228" s="44"/>
      <c r="V228" s="44"/>
      <c r="W228" s="44"/>
      <c r="X228" s="44"/>
      <c r="Y228" s="44"/>
      <c r="Z228" s="44"/>
      <c r="AA228" s="44"/>
      <c r="AB228" s="69"/>
      <c r="AC228" s="69"/>
      <c r="AD228" s="69"/>
      <c r="AH228" s="44"/>
      <c r="AI228" s="44"/>
      <c r="AJ228" s="44"/>
      <c r="AK228" s="44"/>
      <c r="AL228" s="44"/>
      <c r="AM228" s="44"/>
      <c r="AN228" s="44"/>
    </row>
    <row r="229" spans="16:40" x14ac:dyDescent="0.25">
      <c r="P229" s="44"/>
      <c r="Q229" s="44"/>
      <c r="R229" s="44"/>
      <c r="S229" s="44"/>
      <c r="V229" s="44"/>
      <c r="W229" s="44"/>
      <c r="X229" s="44"/>
      <c r="Y229" s="44"/>
      <c r="Z229" s="44"/>
      <c r="AA229" s="44"/>
      <c r="AB229" s="69"/>
      <c r="AC229" s="69"/>
      <c r="AD229" s="69"/>
      <c r="AH229" s="44"/>
      <c r="AI229" s="44"/>
      <c r="AJ229" s="44"/>
      <c r="AK229" s="44"/>
      <c r="AL229" s="44"/>
      <c r="AM229" s="44"/>
      <c r="AN229" s="44"/>
    </row>
    <row r="230" spans="16:40" x14ac:dyDescent="0.25">
      <c r="P230" s="44"/>
      <c r="Q230" s="44"/>
      <c r="R230" s="44"/>
      <c r="S230" s="44"/>
      <c r="V230" s="44"/>
      <c r="W230" s="44"/>
      <c r="X230" s="44"/>
      <c r="Y230" s="44"/>
      <c r="Z230" s="44"/>
      <c r="AA230" s="44"/>
      <c r="AB230" s="69"/>
      <c r="AC230" s="69"/>
      <c r="AD230" s="69"/>
      <c r="AH230" s="44"/>
      <c r="AI230" s="44"/>
      <c r="AJ230" s="44"/>
      <c r="AK230" s="44"/>
      <c r="AL230" s="44"/>
      <c r="AM230" s="44"/>
      <c r="AN230" s="44"/>
    </row>
    <row r="231" spans="16:40" x14ac:dyDescent="0.25">
      <c r="P231" s="44"/>
      <c r="Q231" s="44"/>
      <c r="R231" s="44"/>
      <c r="S231" s="44"/>
      <c r="V231" s="44"/>
      <c r="W231" s="44"/>
      <c r="X231" s="44"/>
      <c r="Y231" s="44"/>
      <c r="Z231" s="44"/>
      <c r="AA231" s="44"/>
      <c r="AB231" s="69"/>
      <c r="AC231" s="69"/>
      <c r="AD231" s="69"/>
      <c r="AH231" s="44"/>
      <c r="AI231" s="44"/>
      <c r="AJ231" s="44"/>
      <c r="AK231" s="44"/>
      <c r="AL231" s="44"/>
      <c r="AM231" s="44"/>
      <c r="AN231" s="44"/>
    </row>
    <row r="232" spans="16:40" x14ac:dyDescent="0.25">
      <c r="P232" s="44"/>
      <c r="Q232" s="44"/>
      <c r="R232" s="44"/>
      <c r="S232" s="44"/>
      <c r="V232" s="44"/>
      <c r="W232" s="44"/>
      <c r="X232" s="44"/>
      <c r="Y232" s="44"/>
      <c r="Z232" s="44"/>
      <c r="AA232" s="44"/>
      <c r="AB232" s="69"/>
      <c r="AC232" s="69"/>
      <c r="AD232" s="69"/>
      <c r="AH232" s="44"/>
      <c r="AI232" s="44"/>
      <c r="AJ232" s="44"/>
      <c r="AK232" s="44"/>
      <c r="AL232" s="44"/>
      <c r="AM232" s="44"/>
      <c r="AN232" s="44"/>
    </row>
    <row r="233" spans="16:40" x14ac:dyDescent="0.25">
      <c r="P233" s="44"/>
      <c r="Q233" s="44"/>
      <c r="R233" s="44"/>
      <c r="S233" s="44"/>
      <c r="V233" s="44"/>
      <c r="W233" s="44"/>
      <c r="X233" s="44"/>
      <c r="Y233" s="44"/>
      <c r="Z233" s="44"/>
      <c r="AA233" s="44"/>
      <c r="AB233" s="69"/>
      <c r="AC233" s="69"/>
      <c r="AD233" s="69"/>
      <c r="AH233" s="44"/>
      <c r="AI233" s="44"/>
      <c r="AJ233" s="44"/>
      <c r="AK233" s="44"/>
      <c r="AL233" s="44"/>
      <c r="AM233" s="44"/>
      <c r="AN233" s="44"/>
    </row>
    <row r="234" spans="16:40" x14ac:dyDescent="0.25">
      <c r="P234" s="44"/>
      <c r="Q234" s="44"/>
      <c r="R234" s="44"/>
      <c r="S234" s="44"/>
      <c r="V234" s="44"/>
      <c r="W234" s="44"/>
      <c r="X234" s="44"/>
      <c r="Y234" s="44"/>
      <c r="Z234" s="44"/>
      <c r="AA234" s="44"/>
      <c r="AB234" s="69"/>
      <c r="AC234" s="69"/>
      <c r="AD234" s="69"/>
      <c r="AH234" s="44"/>
      <c r="AI234" s="44"/>
      <c r="AJ234" s="44"/>
      <c r="AK234" s="44"/>
      <c r="AL234" s="44"/>
      <c r="AM234" s="44"/>
      <c r="AN234" s="44"/>
    </row>
    <row r="235" spans="16:40" x14ac:dyDescent="0.25">
      <c r="P235" s="44"/>
      <c r="Q235" s="44"/>
      <c r="R235" s="44"/>
      <c r="S235" s="44"/>
      <c r="V235" s="44"/>
      <c r="W235" s="44"/>
      <c r="X235" s="44"/>
      <c r="Y235" s="44"/>
      <c r="Z235" s="44"/>
      <c r="AA235" s="44"/>
      <c r="AB235" s="69"/>
      <c r="AC235" s="69"/>
      <c r="AD235" s="69"/>
      <c r="AH235" s="44"/>
      <c r="AI235" s="44"/>
      <c r="AJ235" s="44"/>
      <c r="AK235" s="44"/>
      <c r="AL235" s="44"/>
      <c r="AM235" s="44"/>
      <c r="AN235" s="44"/>
    </row>
    <row r="236" spans="16:40" x14ac:dyDescent="0.25">
      <c r="P236" s="44"/>
      <c r="Q236" s="44"/>
      <c r="R236" s="44"/>
      <c r="S236" s="44"/>
      <c r="V236" s="44"/>
      <c r="W236" s="44"/>
      <c r="X236" s="44"/>
      <c r="Y236" s="44"/>
      <c r="Z236" s="44"/>
      <c r="AA236" s="44"/>
      <c r="AB236" s="69"/>
      <c r="AC236" s="69"/>
      <c r="AD236" s="69"/>
      <c r="AH236" s="44"/>
      <c r="AI236" s="44"/>
      <c r="AJ236" s="44"/>
      <c r="AK236" s="44"/>
      <c r="AL236" s="44"/>
      <c r="AM236" s="44"/>
      <c r="AN236" s="44"/>
    </row>
    <row r="237" spans="16:40" x14ac:dyDescent="0.25">
      <c r="P237" s="44"/>
      <c r="Q237" s="44"/>
      <c r="R237" s="44"/>
      <c r="S237" s="44"/>
      <c r="V237" s="44"/>
      <c r="W237" s="44"/>
      <c r="X237" s="44"/>
      <c r="Y237" s="44"/>
      <c r="Z237" s="44"/>
      <c r="AA237" s="44"/>
      <c r="AB237" s="69"/>
      <c r="AC237" s="69"/>
      <c r="AD237" s="69"/>
      <c r="AH237" s="44"/>
      <c r="AI237" s="44"/>
      <c r="AJ237" s="44"/>
      <c r="AK237" s="44"/>
      <c r="AL237" s="44"/>
      <c r="AM237" s="44"/>
      <c r="AN237" s="44"/>
    </row>
    <row r="238" spans="16:40" x14ac:dyDescent="0.25">
      <c r="P238" s="44"/>
      <c r="Q238" s="44"/>
      <c r="R238" s="44"/>
      <c r="S238" s="44"/>
      <c r="V238" s="44"/>
      <c r="W238" s="44"/>
      <c r="X238" s="44"/>
      <c r="Y238" s="44"/>
      <c r="Z238" s="44"/>
      <c r="AA238" s="44"/>
      <c r="AB238" s="69"/>
      <c r="AC238" s="69"/>
      <c r="AD238" s="69"/>
      <c r="AH238" s="44"/>
      <c r="AI238" s="44"/>
      <c r="AJ238" s="44"/>
      <c r="AK238" s="44"/>
      <c r="AL238" s="44"/>
      <c r="AM238" s="44"/>
      <c r="AN238" s="44"/>
    </row>
    <row r="239" spans="16:40" x14ac:dyDescent="0.25">
      <c r="P239" s="44"/>
      <c r="Q239" s="44"/>
      <c r="R239" s="44"/>
      <c r="S239" s="44"/>
      <c r="V239" s="44"/>
      <c r="W239" s="44"/>
      <c r="X239" s="44"/>
      <c r="Y239" s="44"/>
      <c r="Z239" s="44"/>
      <c r="AA239" s="44"/>
      <c r="AB239" s="69"/>
      <c r="AC239" s="69"/>
      <c r="AD239" s="69"/>
      <c r="AH239" s="44"/>
      <c r="AI239" s="44"/>
      <c r="AJ239" s="44"/>
      <c r="AK239" s="44"/>
      <c r="AL239" s="44"/>
      <c r="AM239" s="44"/>
      <c r="AN239" s="44"/>
    </row>
    <row r="240" spans="16:40" x14ac:dyDescent="0.25">
      <c r="P240" s="44"/>
      <c r="Q240" s="44"/>
      <c r="R240" s="44"/>
      <c r="S240" s="44"/>
      <c r="V240" s="44"/>
      <c r="W240" s="44"/>
      <c r="X240" s="44"/>
      <c r="Y240" s="44"/>
      <c r="Z240" s="44"/>
      <c r="AA240" s="44"/>
      <c r="AB240" s="69"/>
      <c r="AC240" s="69"/>
      <c r="AD240" s="69"/>
      <c r="AH240" s="44"/>
      <c r="AI240" s="44"/>
      <c r="AJ240" s="44"/>
      <c r="AK240" s="44"/>
      <c r="AL240" s="44"/>
      <c r="AM240" s="44"/>
      <c r="AN240" s="44"/>
    </row>
    <row r="241" spans="16:40" x14ac:dyDescent="0.25">
      <c r="P241" s="44"/>
      <c r="Q241" s="44"/>
      <c r="R241" s="44"/>
      <c r="S241" s="44"/>
      <c r="V241" s="44"/>
      <c r="W241" s="44"/>
      <c r="X241" s="44"/>
      <c r="Y241" s="44"/>
      <c r="Z241" s="44"/>
      <c r="AA241" s="44"/>
      <c r="AB241" s="69"/>
      <c r="AC241" s="69"/>
      <c r="AD241" s="69"/>
      <c r="AH241" s="44"/>
      <c r="AI241" s="44"/>
      <c r="AJ241" s="44"/>
      <c r="AK241" s="44"/>
      <c r="AL241" s="44"/>
      <c r="AM241" s="44"/>
      <c r="AN241" s="44"/>
    </row>
    <row r="242" spans="16:40" x14ac:dyDescent="0.25">
      <c r="P242" s="44"/>
      <c r="Q242" s="44"/>
      <c r="R242" s="44"/>
      <c r="S242" s="44"/>
      <c r="V242" s="44"/>
      <c r="W242" s="44"/>
      <c r="X242" s="44"/>
      <c r="Y242" s="44"/>
      <c r="Z242" s="44"/>
      <c r="AA242" s="44"/>
      <c r="AB242" s="69"/>
      <c r="AC242" s="69"/>
      <c r="AD242" s="69"/>
      <c r="AH242" s="44"/>
      <c r="AI242" s="44"/>
      <c r="AJ242" s="44"/>
      <c r="AK242" s="44"/>
      <c r="AL242" s="44"/>
      <c r="AM242" s="44"/>
      <c r="AN242" s="44"/>
    </row>
    <row r="243" spans="16:40" x14ac:dyDescent="0.25">
      <c r="P243" s="44"/>
      <c r="Q243" s="44"/>
      <c r="R243" s="44"/>
      <c r="S243" s="44"/>
      <c r="V243" s="44"/>
      <c r="W243" s="44"/>
      <c r="X243" s="44"/>
      <c r="Y243" s="44"/>
      <c r="Z243" s="44"/>
      <c r="AA243" s="44"/>
      <c r="AB243" s="69"/>
      <c r="AC243" s="69"/>
      <c r="AD243" s="69"/>
      <c r="AH243" s="44"/>
      <c r="AI243" s="44"/>
      <c r="AJ243" s="44"/>
      <c r="AK243" s="44"/>
      <c r="AL243" s="44"/>
      <c r="AM243" s="44"/>
      <c r="AN243" s="44"/>
    </row>
    <row r="244" spans="16:40" x14ac:dyDescent="0.25">
      <c r="P244" s="44"/>
      <c r="Q244" s="44"/>
      <c r="R244" s="44"/>
      <c r="S244" s="44"/>
      <c r="V244" s="44"/>
      <c r="W244" s="44"/>
      <c r="X244" s="44"/>
      <c r="Y244" s="44"/>
      <c r="Z244" s="44"/>
      <c r="AA244" s="44"/>
      <c r="AB244" s="69"/>
      <c r="AC244" s="69"/>
      <c r="AD244" s="69"/>
      <c r="AH244" s="44"/>
      <c r="AI244" s="44"/>
      <c r="AJ244" s="44"/>
      <c r="AK244" s="44"/>
      <c r="AL244" s="44"/>
      <c r="AM244" s="44"/>
      <c r="AN244" s="44"/>
    </row>
    <row r="245" spans="16:40" x14ac:dyDescent="0.25">
      <c r="P245" s="44"/>
      <c r="Q245" s="44"/>
      <c r="R245" s="44"/>
      <c r="S245" s="44"/>
      <c r="V245" s="44"/>
      <c r="W245" s="44"/>
      <c r="X245" s="44"/>
      <c r="Y245" s="44"/>
      <c r="Z245" s="44"/>
      <c r="AA245" s="44"/>
      <c r="AB245" s="69"/>
      <c r="AC245" s="69"/>
      <c r="AD245" s="69"/>
      <c r="AH245" s="44"/>
      <c r="AI245" s="44"/>
      <c r="AJ245" s="44"/>
      <c r="AK245" s="44"/>
      <c r="AL245" s="44"/>
      <c r="AM245" s="44"/>
      <c r="AN245" s="44"/>
    </row>
    <row r="246" spans="16:40" x14ac:dyDescent="0.25">
      <c r="P246" s="44"/>
      <c r="Q246" s="44"/>
      <c r="R246" s="44"/>
      <c r="S246" s="44"/>
      <c r="V246" s="44"/>
      <c r="W246" s="44"/>
      <c r="X246" s="44"/>
      <c r="Y246" s="44"/>
      <c r="Z246" s="44"/>
      <c r="AA246" s="44"/>
      <c r="AB246" s="69"/>
      <c r="AC246" s="69"/>
      <c r="AD246" s="69"/>
      <c r="AH246" s="44"/>
      <c r="AI246" s="44"/>
      <c r="AJ246" s="44"/>
      <c r="AK246" s="44"/>
      <c r="AL246" s="44"/>
      <c r="AM246" s="44"/>
      <c r="AN246" s="44"/>
    </row>
    <row r="247" spans="16:40" x14ac:dyDescent="0.25">
      <c r="P247" s="44"/>
      <c r="Q247" s="44"/>
      <c r="R247" s="44"/>
      <c r="S247" s="44"/>
      <c r="V247" s="44"/>
      <c r="W247" s="44"/>
      <c r="X247" s="44"/>
      <c r="Y247" s="44"/>
      <c r="Z247" s="44"/>
      <c r="AA247" s="44"/>
      <c r="AB247" s="69"/>
      <c r="AC247" s="69"/>
      <c r="AD247" s="69"/>
      <c r="AH247" s="44"/>
      <c r="AI247" s="44"/>
      <c r="AJ247" s="44"/>
      <c r="AK247" s="44"/>
      <c r="AL247" s="44"/>
      <c r="AM247" s="44"/>
      <c r="AN247" s="44"/>
    </row>
    <row r="248" spans="16:40" x14ac:dyDescent="0.25">
      <c r="P248" s="44"/>
      <c r="Q248" s="44"/>
      <c r="R248" s="44"/>
      <c r="S248" s="44"/>
      <c r="V248" s="44"/>
      <c r="W248" s="44"/>
      <c r="X248" s="44"/>
      <c r="Y248" s="44"/>
      <c r="Z248" s="44"/>
      <c r="AA248" s="44"/>
      <c r="AB248" s="69"/>
      <c r="AC248" s="69"/>
      <c r="AD248" s="69"/>
      <c r="AH248" s="44"/>
      <c r="AI248" s="44"/>
      <c r="AJ248" s="44"/>
      <c r="AK248" s="44"/>
      <c r="AL248" s="44"/>
      <c r="AM248" s="44"/>
      <c r="AN248" s="44"/>
    </row>
    <row r="249" spans="16:40" x14ac:dyDescent="0.25">
      <c r="P249" s="44"/>
      <c r="Q249" s="44"/>
      <c r="R249" s="44"/>
      <c r="S249" s="44"/>
      <c r="V249" s="44"/>
      <c r="W249" s="44"/>
      <c r="X249" s="44"/>
      <c r="Y249" s="44"/>
      <c r="Z249" s="44"/>
      <c r="AA249" s="44"/>
      <c r="AB249" s="69"/>
      <c r="AC249" s="69"/>
      <c r="AD249" s="69"/>
      <c r="AH249" s="44"/>
      <c r="AI249" s="44"/>
      <c r="AJ249" s="44"/>
      <c r="AK249" s="44"/>
      <c r="AL249" s="44"/>
      <c r="AM249" s="44"/>
      <c r="AN249" s="44"/>
    </row>
    <row r="250" spans="16:40" x14ac:dyDescent="0.25">
      <c r="P250" s="44"/>
      <c r="Q250" s="44"/>
      <c r="R250" s="44"/>
      <c r="S250" s="44"/>
      <c r="V250" s="44"/>
      <c r="W250" s="44"/>
      <c r="X250" s="44"/>
      <c r="Y250" s="44"/>
      <c r="Z250" s="44"/>
      <c r="AA250" s="44"/>
      <c r="AB250" s="69"/>
      <c r="AC250" s="69"/>
      <c r="AD250" s="69"/>
      <c r="AH250" s="44"/>
      <c r="AI250" s="44"/>
      <c r="AJ250" s="44"/>
      <c r="AK250" s="44"/>
      <c r="AL250" s="44"/>
      <c r="AM250" s="44"/>
      <c r="AN250" s="44"/>
    </row>
    <row r="251" spans="16:40" x14ac:dyDescent="0.25">
      <c r="P251" s="44"/>
      <c r="Q251" s="44"/>
      <c r="R251" s="44"/>
      <c r="S251" s="44"/>
      <c r="V251" s="44"/>
      <c r="W251" s="44"/>
      <c r="X251" s="44"/>
      <c r="Y251" s="44"/>
      <c r="Z251" s="44"/>
      <c r="AA251" s="44"/>
      <c r="AB251" s="69"/>
      <c r="AC251" s="69"/>
      <c r="AD251" s="69"/>
      <c r="AH251" s="44"/>
      <c r="AI251" s="44"/>
      <c r="AJ251" s="44"/>
      <c r="AK251" s="44"/>
      <c r="AL251" s="44"/>
      <c r="AM251" s="44"/>
      <c r="AN251" s="44"/>
    </row>
    <row r="252" spans="16:40" x14ac:dyDescent="0.25">
      <c r="P252" s="44"/>
      <c r="Q252" s="44"/>
      <c r="R252" s="44"/>
      <c r="S252" s="44"/>
      <c r="V252" s="44"/>
      <c r="W252" s="44"/>
      <c r="X252" s="44"/>
      <c r="Y252" s="44"/>
      <c r="Z252" s="44"/>
      <c r="AA252" s="44"/>
      <c r="AB252" s="69"/>
      <c r="AC252" s="69"/>
      <c r="AD252" s="69"/>
      <c r="AH252" s="44"/>
      <c r="AI252" s="44"/>
      <c r="AJ252" s="44"/>
      <c r="AK252" s="44"/>
      <c r="AL252" s="44"/>
      <c r="AM252" s="44"/>
      <c r="AN252" s="44"/>
    </row>
    <row r="253" spans="16:40" x14ac:dyDescent="0.25">
      <c r="P253" s="44"/>
      <c r="Q253" s="44"/>
      <c r="R253" s="44"/>
      <c r="S253" s="44"/>
      <c r="V253" s="44"/>
      <c r="W253" s="44"/>
      <c r="X253" s="44"/>
      <c r="Y253" s="44"/>
      <c r="Z253" s="44"/>
      <c r="AA253" s="44"/>
      <c r="AB253" s="69"/>
      <c r="AC253" s="69"/>
      <c r="AD253" s="69"/>
      <c r="AH253" s="44"/>
      <c r="AI253" s="44"/>
      <c r="AJ253" s="44"/>
      <c r="AK253" s="44"/>
      <c r="AL253" s="44"/>
      <c r="AM253" s="44"/>
      <c r="AN253" s="44"/>
    </row>
    <row r="254" spans="16:40" x14ac:dyDescent="0.25">
      <c r="P254" s="44"/>
      <c r="Q254" s="44"/>
      <c r="R254" s="44"/>
      <c r="S254" s="44"/>
      <c r="V254" s="44"/>
      <c r="W254" s="44"/>
      <c r="X254" s="44"/>
      <c r="Y254" s="44"/>
      <c r="Z254" s="44"/>
      <c r="AA254" s="44"/>
      <c r="AB254" s="69"/>
      <c r="AC254" s="69"/>
      <c r="AD254" s="69"/>
      <c r="AH254" s="44"/>
      <c r="AI254" s="44"/>
      <c r="AJ254" s="44"/>
      <c r="AK254" s="44"/>
      <c r="AL254" s="44"/>
      <c r="AM254" s="44"/>
      <c r="AN254" s="44"/>
    </row>
    <row r="255" spans="16:40" x14ac:dyDescent="0.25">
      <c r="P255" s="44"/>
      <c r="Q255" s="44"/>
      <c r="R255" s="44"/>
      <c r="S255" s="44"/>
      <c r="V255" s="44"/>
      <c r="W255" s="44"/>
      <c r="X255" s="44"/>
      <c r="Y255" s="44"/>
      <c r="Z255" s="44"/>
      <c r="AA255" s="44"/>
      <c r="AB255" s="69"/>
      <c r="AC255" s="69"/>
      <c r="AD255" s="69"/>
      <c r="AH255" s="44"/>
      <c r="AI255" s="44"/>
      <c r="AJ255" s="44"/>
      <c r="AK255" s="44"/>
      <c r="AL255" s="44"/>
      <c r="AM255" s="44"/>
      <c r="AN255" s="44"/>
    </row>
    <row r="256" spans="16:40" x14ac:dyDescent="0.25">
      <c r="P256" s="44"/>
      <c r="Q256" s="44"/>
      <c r="R256" s="44"/>
      <c r="S256" s="44"/>
      <c r="V256" s="44"/>
      <c r="W256" s="44"/>
      <c r="X256" s="44"/>
      <c r="Y256" s="44"/>
      <c r="Z256" s="44"/>
      <c r="AA256" s="44"/>
      <c r="AB256" s="69"/>
      <c r="AC256" s="69"/>
      <c r="AD256" s="69"/>
      <c r="AH256" s="44"/>
      <c r="AI256" s="44"/>
      <c r="AJ256" s="44"/>
      <c r="AK256" s="44"/>
      <c r="AL256" s="44"/>
      <c r="AM256" s="44"/>
      <c r="AN256" s="44"/>
    </row>
    <row r="257" spans="16:40" x14ac:dyDescent="0.25">
      <c r="P257" s="44"/>
      <c r="Q257" s="44"/>
      <c r="R257" s="44"/>
      <c r="S257" s="44"/>
      <c r="V257" s="44"/>
      <c r="W257" s="44"/>
      <c r="X257" s="44"/>
      <c r="Y257" s="44"/>
      <c r="Z257" s="44"/>
      <c r="AA257" s="44"/>
      <c r="AB257" s="69"/>
      <c r="AC257" s="69"/>
      <c r="AD257" s="69"/>
      <c r="AH257" s="44"/>
      <c r="AI257" s="44"/>
      <c r="AJ257" s="44"/>
      <c r="AK257" s="44"/>
      <c r="AL257" s="44"/>
      <c r="AM257" s="44"/>
      <c r="AN257" s="44"/>
    </row>
    <row r="258" spans="16:40" x14ac:dyDescent="0.25">
      <c r="P258" s="44"/>
      <c r="Q258" s="44"/>
      <c r="R258" s="44"/>
      <c r="S258" s="44"/>
      <c r="V258" s="44"/>
      <c r="W258" s="44"/>
      <c r="X258" s="44"/>
      <c r="Y258" s="44"/>
      <c r="Z258" s="44"/>
      <c r="AA258" s="44"/>
      <c r="AB258" s="69"/>
      <c r="AC258" s="69"/>
      <c r="AD258" s="69"/>
      <c r="AH258" s="44"/>
      <c r="AI258" s="44"/>
      <c r="AJ258" s="44"/>
      <c r="AK258" s="44"/>
      <c r="AL258" s="44"/>
      <c r="AM258" s="44"/>
      <c r="AN258" s="44"/>
    </row>
    <row r="259" spans="16:40" x14ac:dyDescent="0.25">
      <c r="P259" s="44"/>
      <c r="Q259" s="44"/>
      <c r="R259" s="44"/>
      <c r="S259" s="44"/>
      <c r="V259" s="44"/>
      <c r="W259" s="44"/>
      <c r="X259" s="44"/>
      <c r="Y259" s="44"/>
      <c r="Z259" s="44"/>
      <c r="AA259" s="44"/>
      <c r="AB259" s="69"/>
      <c r="AC259" s="69"/>
      <c r="AD259" s="69"/>
      <c r="AH259" s="44"/>
      <c r="AI259" s="44"/>
      <c r="AJ259" s="44"/>
      <c r="AK259" s="44"/>
      <c r="AL259" s="44"/>
      <c r="AM259" s="44"/>
      <c r="AN259" s="44"/>
    </row>
    <row r="260" spans="16:40" x14ac:dyDescent="0.25">
      <c r="P260" s="44"/>
      <c r="Q260" s="44"/>
      <c r="R260" s="44"/>
      <c r="S260" s="44"/>
      <c r="V260" s="44"/>
      <c r="W260" s="44"/>
      <c r="X260" s="44"/>
      <c r="Y260" s="44"/>
      <c r="Z260" s="44"/>
      <c r="AA260" s="44"/>
      <c r="AB260" s="69"/>
      <c r="AC260" s="69"/>
      <c r="AD260" s="69"/>
      <c r="AH260" s="44"/>
      <c r="AI260" s="44"/>
      <c r="AJ260" s="44"/>
      <c r="AK260" s="44"/>
      <c r="AL260" s="44"/>
      <c r="AM260" s="44"/>
      <c r="AN260" s="44"/>
    </row>
    <row r="261" spans="16:40" x14ac:dyDescent="0.25">
      <c r="P261" s="44"/>
      <c r="Q261" s="44"/>
      <c r="R261" s="44"/>
      <c r="S261" s="44"/>
      <c r="V261" s="44"/>
      <c r="W261" s="44"/>
      <c r="X261" s="44"/>
      <c r="Y261" s="44"/>
      <c r="Z261" s="44"/>
      <c r="AA261" s="44"/>
      <c r="AB261" s="69"/>
      <c r="AC261" s="69"/>
      <c r="AD261" s="69"/>
      <c r="AH261" s="44"/>
      <c r="AI261" s="44"/>
      <c r="AJ261" s="44"/>
      <c r="AK261" s="44"/>
      <c r="AL261" s="44"/>
      <c r="AM261" s="44"/>
      <c r="AN261" s="44"/>
    </row>
    <row r="262" spans="16:40" x14ac:dyDescent="0.25">
      <c r="P262" s="44"/>
      <c r="Q262" s="44"/>
      <c r="R262" s="44"/>
      <c r="S262" s="44"/>
      <c r="V262" s="44"/>
      <c r="W262" s="44"/>
      <c r="X262" s="44"/>
      <c r="Y262" s="44"/>
      <c r="Z262" s="44"/>
      <c r="AA262" s="44"/>
      <c r="AB262" s="69"/>
      <c r="AC262" s="69"/>
      <c r="AD262" s="69"/>
      <c r="AH262" s="44"/>
      <c r="AI262" s="44"/>
      <c r="AJ262" s="44"/>
      <c r="AK262" s="44"/>
      <c r="AL262" s="44"/>
      <c r="AM262" s="44"/>
      <c r="AN262" s="44"/>
    </row>
    <row r="263" spans="16:40" x14ac:dyDescent="0.25">
      <c r="P263" s="44"/>
      <c r="Q263" s="44"/>
      <c r="R263" s="44"/>
      <c r="S263" s="44"/>
      <c r="V263" s="44"/>
      <c r="W263" s="44"/>
      <c r="X263" s="44"/>
      <c r="Y263" s="44"/>
      <c r="Z263" s="44"/>
      <c r="AA263" s="44"/>
      <c r="AB263" s="69"/>
      <c r="AC263" s="69"/>
      <c r="AD263" s="69"/>
      <c r="AH263" s="44"/>
      <c r="AI263" s="44"/>
      <c r="AJ263" s="44"/>
      <c r="AK263" s="44"/>
      <c r="AL263" s="44"/>
      <c r="AM263" s="44"/>
      <c r="AN263" s="44"/>
    </row>
    <row r="264" spans="16:40" x14ac:dyDescent="0.25">
      <c r="P264" s="44"/>
      <c r="Q264" s="44"/>
      <c r="R264" s="44"/>
      <c r="S264" s="44"/>
      <c r="V264" s="44"/>
      <c r="W264" s="44"/>
      <c r="X264" s="44"/>
      <c r="Y264" s="44"/>
      <c r="Z264" s="44"/>
      <c r="AA264" s="44"/>
      <c r="AB264" s="69"/>
      <c r="AC264" s="69"/>
      <c r="AD264" s="69"/>
      <c r="AH264" s="44"/>
      <c r="AI264" s="44"/>
      <c r="AJ264" s="44"/>
      <c r="AK264" s="44"/>
      <c r="AL264" s="44"/>
      <c r="AM264" s="44"/>
      <c r="AN264" s="44"/>
    </row>
    <row r="265" spans="16:40" x14ac:dyDescent="0.25">
      <c r="P265" s="44"/>
      <c r="Q265" s="44"/>
      <c r="R265" s="44"/>
      <c r="S265" s="44"/>
      <c r="V265" s="44"/>
      <c r="W265" s="44"/>
      <c r="X265" s="44"/>
      <c r="Y265" s="44"/>
      <c r="Z265" s="44"/>
      <c r="AA265" s="44"/>
      <c r="AB265" s="69"/>
      <c r="AC265" s="69"/>
      <c r="AD265" s="69"/>
      <c r="AH265" s="44"/>
      <c r="AI265" s="44"/>
      <c r="AJ265" s="44"/>
      <c r="AK265" s="44"/>
      <c r="AL265" s="44"/>
      <c r="AM265" s="44"/>
      <c r="AN265" s="44"/>
    </row>
    <row r="266" spans="16:40" x14ac:dyDescent="0.25">
      <c r="P266" s="44"/>
      <c r="Q266" s="44"/>
      <c r="R266" s="44"/>
      <c r="S266" s="44"/>
      <c r="V266" s="44"/>
      <c r="W266" s="44"/>
      <c r="X266" s="44"/>
      <c r="Y266" s="44"/>
      <c r="Z266" s="44"/>
      <c r="AA266" s="44"/>
      <c r="AB266" s="69"/>
      <c r="AC266" s="69"/>
      <c r="AD266" s="69"/>
      <c r="AH266" s="44"/>
      <c r="AI266" s="44"/>
      <c r="AJ266" s="44"/>
      <c r="AK266" s="44"/>
      <c r="AL266" s="44"/>
      <c r="AM266" s="44"/>
      <c r="AN266" s="44"/>
    </row>
    <row r="267" spans="16:40" x14ac:dyDescent="0.25">
      <c r="P267" s="44"/>
      <c r="Q267" s="44"/>
      <c r="R267" s="44"/>
      <c r="S267" s="44"/>
      <c r="V267" s="44"/>
      <c r="W267" s="44"/>
      <c r="X267" s="44"/>
      <c r="Y267" s="44"/>
      <c r="Z267" s="44"/>
      <c r="AA267" s="44"/>
      <c r="AB267" s="69"/>
      <c r="AC267" s="69"/>
      <c r="AD267" s="69"/>
      <c r="AH267" s="44"/>
      <c r="AI267" s="44"/>
      <c r="AJ267" s="44"/>
      <c r="AK267" s="44"/>
      <c r="AL267" s="44"/>
      <c r="AM267" s="44"/>
      <c r="AN267" s="44"/>
    </row>
    <row r="268" spans="16:40" x14ac:dyDescent="0.25">
      <c r="P268" s="44"/>
      <c r="Q268" s="44"/>
      <c r="R268" s="44"/>
      <c r="S268" s="44"/>
      <c r="V268" s="44"/>
      <c r="W268" s="44"/>
      <c r="X268" s="44"/>
      <c r="Y268" s="44"/>
      <c r="Z268" s="44"/>
      <c r="AA268" s="44"/>
      <c r="AB268" s="69"/>
      <c r="AC268" s="69"/>
      <c r="AD268" s="69"/>
      <c r="AH268" s="44"/>
      <c r="AI268" s="44"/>
      <c r="AJ268" s="44"/>
      <c r="AK268" s="44"/>
      <c r="AL268" s="44"/>
      <c r="AM268" s="44"/>
      <c r="AN268" s="44"/>
    </row>
    <row r="269" spans="16:40" x14ac:dyDescent="0.25">
      <c r="P269" s="44"/>
      <c r="Q269" s="44"/>
      <c r="R269" s="44"/>
      <c r="S269" s="44"/>
      <c r="V269" s="44"/>
      <c r="W269" s="44"/>
      <c r="X269" s="44"/>
      <c r="Y269" s="44"/>
      <c r="Z269" s="44"/>
      <c r="AA269" s="44"/>
      <c r="AB269" s="69"/>
      <c r="AC269" s="69"/>
      <c r="AD269" s="69"/>
      <c r="AH269" s="44"/>
      <c r="AI269" s="44"/>
      <c r="AJ269" s="44"/>
      <c r="AK269" s="44"/>
      <c r="AL269" s="44"/>
      <c r="AM269" s="44"/>
      <c r="AN269" s="44"/>
    </row>
    <row r="270" spans="16:40" x14ac:dyDescent="0.25">
      <c r="P270" s="44"/>
      <c r="Q270" s="44"/>
      <c r="R270" s="44"/>
      <c r="S270" s="44"/>
      <c r="V270" s="44"/>
      <c r="W270" s="44"/>
      <c r="X270" s="44"/>
      <c r="Y270" s="44"/>
      <c r="Z270" s="44"/>
      <c r="AA270" s="44"/>
      <c r="AB270" s="69"/>
      <c r="AC270" s="69"/>
      <c r="AD270" s="69"/>
      <c r="AH270" s="44"/>
      <c r="AI270" s="44"/>
      <c r="AJ270" s="44"/>
      <c r="AK270" s="44"/>
      <c r="AL270" s="44"/>
      <c r="AM270" s="44"/>
      <c r="AN270" s="44"/>
    </row>
    <row r="271" spans="16:40" x14ac:dyDescent="0.25">
      <c r="P271" s="44"/>
      <c r="Q271" s="44"/>
      <c r="R271" s="44"/>
      <c r="S271" s="44"/>
      <c r="V271" s="44"/>
      <c r="W271" s="44"/>
      <c r="X271" s="44"/>
      <c r="Y271" s="44"/>
      <c r="Z271" s="44"/>
      <c r="AA271" s="44"/>
      <c r="AB271" s="69"/>
      <c r="AC271" s="69"/>
      <c r="AD271" s="69"/>
      <c r="AH271" s="44"/>
      <c r="AI271" s="44"/>
      <c r="AJ271" s="44"/>
      <c r="AK271" s="44"/>
      <c r="AL271" s="44"/>
      <c r="AM271" s="44"/>
      <c r="AN271" s="44"/>
    </row>
    <row r="272" spans="16:40" x14ac:dyDescent="0.25">
      <c r="P272" s="44"/>
      <c r="Q272" s="44"/>
      <c r="R272" s="44"/>
      <c r="S272" s="44"/>
      <c r="V272" s="44"/>
      <c r="W272" s="44"/>
      <c r="X272" s="44"/>
      <c r="Y272" s="44"/>
      <c r="Z272" s="44"/>
      <c r="AA272" s="44"/>
      <c r="AB272" s="69"/>
      <c r="AC272" s="69"/>
      <c r="AD272" s="69"/>
      <c r="AH272" s="44"/>
      <c r="AI272" s="44"/>
      <c r="AJ272" s="44"/>
      <c r="AK272" s="44"/>
      <c r="AL272" s="44"/>
      <c r="AM272" s="44"/>
      <c r="AN272" s="44"/>
    </row>
    <row r="273" spans="16:40" x14ac:dyDescent="0.25">
      <c r="P273" s="44"/>
      <c r="Q273" s="44"/>
      <c r="R273" s="44"/>
      <c r="S273" s="44"/>
      <c r="V273" s="44"/>
      <c r="W273" s="44"/>
      <c r="X273" s="44"/>
      <c r="Y273" s="44"/>
      <c r="Z273" s="44"/>
      <c r="AA273" s="44"/>
      <c r="AB273" s="69"/>
      <c r="AC273" s="69"/>
      <c r="AD273" s="69"/>
      <c r="AH273" s="44"/>
      <c r="AI273" s="44"/>
      <c r="AJ273" s="44"/>
      <c r="AK273" s="44"/>
      <c r="AL273" s="44"/>
      <c r="AM273" s="44"/>
      <c r="AN273" s="44"/>
    </row>
    <row r="274" spans="16:40" x14ac:dyDescent="0.25">
      <c r="P274" s="44"/>
      <c r="Q274" s="44"/>
      <c r="R274" s="44"/>
      <c r="S274" s="44"/>
      <c r="V274" s="44"/>
      <c r="W274" s="44"/>
      <c r="X274" s="44"/>
      <c r="Y274" s="44"/>
      <c r="Z274" s="44"/>
      <c r="AA274" s="44"/>
      <c r="AB274" s="69"/>
      <c r="AC274" s="69"/>
      <c r="AD274" s="69"/>
      <c r="AH274" s="44"/>
      <c r="AI274" s="44"/>
      <c r="AJ274" s="44"/>
      <c r="AK274" s="44"/>
      <c r="AL274" s="44"/>
      <c r="AM274" s="44"/>
      <c r="AN274" s="44"/>
    </row>
    <row r="275" spans="16:40" x14ac:dyDescent="0.25">
      <c r="P275" s="44"/>
      <c r="Q275" s="44"/>
      <c r="R275" s="44"/>
      <c r="S275" s="44"/>
      <c r="V275" s="44"/>
      <c r="W275" s="44"/>
      <c r="X275" s="44"/>
      <c r="Y275" s="44"/>
      <c r="Z275" s="44"/>
      <c r="AA275" s="44"/>
      <c r="AB275" s="69"/>
      <c r="AC275" s="69"/>
      <c r="AD275" s="69"/>
      <c r="AH275" s="44"/>
      <c r="AI275" s="44"/>
      <c r="AJ275" s="44"/>
      <c r="AK275" s="44"/>
      <c r="AL275" s="44"/>
      <c r="AM275" s="44"/>
      <c r="AN275" s="44"/>
    </row>
    <row r="276" spans="16:40" x14ac:dyDescent="0.25">
      <c r="P276" s="44"/>
      <c r="Q276" s="44"/>
      <c r="R276" s="44"/>
      <c r="S276" s="44"/>
      <c r="V276" s="44"/>
      <c r="W276" s="44"/>
      <c r="X276" s="44"/>
      <c r="Y276" s="44"/>
      <c r="Z276" s="44"/>
      <c r="AA276" s="44"/>
      <c r="AB276" s="69"/>
      <c r="AC276" s="69"/>
      <c r="AD276" s="69"/>
      <c r="AH276" s="44"/>
      <c r="AI276" s="44"/>
      <c r="AJ276" s="44"/>
      <c r="AK276" s="44"/>
      <c r="AL276" s="44"/>
      <c r="AM276" s="44"/>
      <c r="AN276" s="44"/>
    </row>
    <row r="277" spans="16:40" x14ac:dyDescent="0.25">
      <c r="P277" s="44"/>
      <c r="Q277" s="44"/>
      <c r="R277" s="44"/>
      <c r="S277" s="44"/>
      <c r="V277" s="44"/>
      <c r="W277" s="44"/>
      <c r="X277" s="44"/>
      <c r="Y277" s="44"/>
      <c r="Z277" s="44"/>
      <c r="AA277" s="44"/>
      <c r="AB277" s="69"/>
      <c r="AC277" s="69"/>
      <c r="AD277" s="69"/>
      <c r="AH277" s="44"/>
      <c r="AI277" s="44"/>
      <c r="AJ277" s="44"/>
      <c r="AK277" s="44"/>
      <c r="AL277" s="44"/>
      <c r="AM277" s="44"/>
      <c r="AN277" s="44"/>
    </row>
    <row r="278" spans="16:40" x14ac:dyDescent="0.25">
      <c r="P278" s="44"/>
      <c r="Q278" s="44"/>
      <c r="R278" s="44"/>
      <c r="S278" s="44"/>
      <c r="V278" s="44"/>
      <c r="W278" s="44"/>
      <c r="X278" s="44"/>
      <c r="Y278" s="44"/>
      <c r="Z278" s="44"/>
      <c r="AA278" s="44"/>
      <c r="AB278" s="69"/>
      <c r="AC278" s="69"/>
      <c r="AD278" s="69"/>
      <c r="AH278" s="44"/>
      <c r="AI278" s="44"/>
      <c r="AJ278" s="44"/>
      <c r="AK278" s="44"/>
      <c r="AL278" s="44"/>
      <c r="AM278" s="44"/>
      <c r="AN278" s="44"/>
    </row>
    <row r="279" spans="16:40" x14ac:dyDescent="0.25">
      <c r="P279" s="44"/>
      <c r="Q279" s="44"/>
      <c r="R279" s="44"/>
      <c r="S279" s="44"/>
      <c r="V279" s="44"/>
      <c r="W279" s="44"/>
      <c r="X279" s="44"/>
      <c r="Y279" s="44"/>
      <c r="Z279" s="44"/>
      <c r="AA279" s="44"/>
      <c r="AB279" s="69"/>
      <c r="AC279" s="69"/>
      <c r="AD279" s="69"/>
      <c r="AH279" s="44"/>
      <c r="AI279" s="44"/>
      <c r="AJ279" s="44"/>
      <c r="AK279" s="44"/>
      <c r="AL279" s="44"/>
      <c r="AM279" s="44"/>
      <c r="AN279" s="44"/>
    </row>
    <row r="280" spans="16:40" x14ac:dyDescent="0.25">
      <c r="P280" s="44"/>
      <c r="Q280" s="44"/>
      <c r="R280" s="44"/>
      <c r="S280" s="44"/>
      <c r="V280" s="44"/>
      <c r="W280" s="44"/>
      <c r="X280" s="44"/>
      <c r="Y280" s="44"/>
      <c r="Z280" s="44"/>
      <c r="AA280" s="44"/>
      <c r="AB280" s="69"/>
      <c r="AC280" s="69"/>
      <c r="AD280" s="69"/>
      <c r="AH280" s="44"/>
      <c r="AI280" s="44"/>
      <c r="AJ280" s="44"/>
      <c r="AK280" s="44"/>
      <c r="AL280" s="44"/>
      <c r="AM280" s="44"/>
      <c r="AN280" s="44"/>
    </row>
    <row r="281" spans="16:40" x14ac:dyDescent="0.25">
      <c r="P281" s="44"/>
      <c r="Q281" s="44"/>
      <c r="R281" s="44"/>
      <c r="S281" s="44"/>
      <c r="V281" s="44"/>
      <c r="W281" s="44"/>
      <c r="X281" s="44"/>
      <c r="Y281" s="44"/>
      <c r="Z281" s="44"/>
      <c r="AA281" s="44"/>
      <c r="AB281" s="69"/>
      <c r="AC281" s="69"/>
      <c r="AD281" s="69"/>
      <c r="AH281" s="44"/>
      <c r="AI281" s="44"/>
      <c r="AJ281" s="44"/>
      <c r="AK281" s="44"/>
      <c r="AL281" s="44"/>
      <c r="AM281" s="44"/>
      <c r="AN281" s="44"/>
    </row>
    <row r="282" spans="16:40" x14ac:dyDescent="0.25">
      <c r="P282" s="44"/>
      <c r="Q282" s="44"/>
      <c r="R282" s="44"/>
      <c r="S282" s="44"/>
      <c r="V282" s="44"/>
      <c r="W282" s="44"/>
      <c r="X282" s="44"/>
      <c r="Y282" s="44"/>
      <c r="Z282" s="44"/>
      <c r="AA282" s="44"/>
      <c r="AB282" s="69"/>
      <c r="AC282" s="69"/>
      <c r="AD282" s="69"/>
      <c r="AH282" s="44"/>
      <c r="AI282" s="44"/>
      <c r="AJ282" s="44"/>
      <c r="AK282" s="44"/>
      <c r="AL282" s="44"/>
      <c r="AM282" s="44"/>
      <c r="AN282" s="44"/>
    </row>
    <row r="283" spans="16:40" x14ac:dyDescent="0.25">
      <c r="P283" s="44"/>
      <c r="Q283" s="44"/>
      <c r="R283" s="44"/>
      <c r="S283" s="44"/>
      <c r="V283" s="44"/>
      <c r="W283" s="44"/>
      <c r="X283" s="44"/>
      <c r="Y283" s="44"/>
      <c r="Z283" s="44"/>
      <c r="AA283" s="44"/>
      <c r="AB283" s="69"/>
      <c r="AC283" s="69"/>
      <c r="AD283" s="69"/>
      <c r="AH283" s="44"/>
      <c r="AI283" s="44"/>
      <c r="AJ283" s="44"/>
      <c r="AK283" s="44"/>
      <c r="AL283" s="44"/>
      <c r="AM283" s="44"/>
      <c r="AN283" s="44"/>
    </row>
    <row r="284" spans="16:40" x14ac:dyDescent="0.25">
      <c r="P284" s="44"/>
      <c r="Q284" s="44"/>
      <c r="R284" s="44"/>
      <c r="S284" s="44"/>
      <c r="V284" s="44"/>
      <c r="W284" s="44"/>
      <c r="X284" s="44"/>
      <c r="Y284" s="44"/>
      <c r="Z284" s="44"/>
      <c r="AA284" s="44"/>
      <c r="AB284" s="69"/>
      <c r="AC284" s="69"/>
      <c r="AD284" s="69"/>
      <c r="AH284" s="44"/>
      <c r="AI284" s="44"/>
      <c r="AJ284" s="44"/>
      <c r="AK284" s="44"/>
      <c r="AL284" s="44"/>
      <c r="AM284" s="44"/>
      <c r="AN284" s="44"/>
    </row>
    <row r="285" spans="16:40" x14ac:dyDescent="0.25">
      <c r="P285" s="44"/>
      <c r="Q285" s="44"/>
      <c r="R285" s="44"/>
      <c r="S285" s="44"/>
      <c r="V285" s="44"/>
      <c r="W285" s="44"/>
      <c r="X285" s="44"/>
      <c r="Y285" s="44"/>
      <c r="Z285" s="44"/>
      <c r="AA285" s="44"/>
      <c r="AB285" s="69"/>
      <c r="AC285" s="69"/>
      <c r="AD285" s="69"/>
      <c r="AH285" s="44"/>
      <c r="AI285" s="44"/>
      <c r="AJ285" s="44"/>
      <c r="AK285" s="44"/>
      <c r="AL285" s="44"/>
      <c r="AM285" s="44"/>
      <c r="AN285" s="44"/>
    </row>
    <row r="286" spans="16:40" x14ac:dyDescent="0.25">
      <c r="P286" s="44"/>
      <c r="Q286" s="44"/>
      <c r="R286" s="44"/>
      <c r="S286" s="44"/>
      <c r="V286" s="44"/>
      <c r="W286" s="44"/>
      <c r="X286" s="44"/>
      <c r="Y286" s="44"/>
      <c r="Z286" s="44"/>
      <c r="AA286" s="44"/>
      <c r="AB286" s="69"/>
      <c r="AC286" s="69"/>
      <c r="AD286" s="69"/>
      <c r="AH286" s="44"/>
      <c r="AI286" s="44"/>
      <c r="AJ286" s="44"/>
      <c r="AK286" s="44"/>
      <c r="AL286" s="44"/>
      <c r="AM286" s="44"/>
      <c r="AN286" s="44"/>
    </row>
    <row r="287" spans="16:40" x14ac:dyDescent="0.25">
      <c r="P287" s="44"/>
      <c r="Q287" s="44"/>
      <c r="R287" s="44"/>
      <c r="S287" s="44"/>
      <c r="V287" s="44"/>
      <c r="W287" s="44"/>
      <c r="X287" s="44"/>
      <c r="Y287" s="44"/>
      <c r="Z287" s="44"/>
      <c r="AA287" s="44"/>
      <c r="AB287" s="69"/>
      <c r="AC287" s="69"/>
      <c r="AD287" s="69"/>
      <c r="AH287" s="44"/>
      <c r="AI287" s="44"/>
      <c r="AJ287" s="44"/>
      <c r="AK287" s="44"/>
      <c r="AL287" s="44"/>
      <c r="AM287" s="44"/>
      <c r="AN287" s="44"/>
    </row>
    <row r="288" spans="16:40" x14ac:dyDescent="0.25">
      <c r="P288" s="44"/>
      <c r="Q288" s="44"/>
      <c r="R288" s="44"/>
      <c r="S288" s="44"/>
      <c r="V288" s="44"/>
      <c r="W288" s="44"/>
      <c r="X288" s="44"/>
      <c r="Y288" s="44"/>
      <c r="Z288" s="44"/>
      <c r="AA288" s="44"/>
      <c r="AB288" s="69"/>
      <c r="AC288" s="69"/>
      <c r="AD288" s="69"/>
      <c r="AH288" s="44"/>
      <c r="AI288" s="44"/>
      <c r="AJ288" s="44"/>
      <c r="AK288" s="44"/>
      <c r="AL288" s="44"/>
      <c r="AM288" s="44"/>
      <c r="AN288" s="44"/>
    </row>
    <row r="289" spans="16:40" x14ac:dyDescent="0.25">
      <c r="P289" s="44"/>
      <c r="Q289" s="44"/>
      <c r="R289" s="44"/>
      <c r="S289" s="44"/>
      <c r="V289" s="44"/>
      <c r="W289" s="44"/>
      <c r="X289" s="44"/>
      <c r="Y289" s="44"/>
      <c r="Z289" s="44"/>
      <c r="AA289" s="44"/>
      <c r="AB289" s="69"/>
      <c r="AC289" s="69"/>
      <c r="AD289" s="69"/>
      <c r="AH289" s="44"/>
      <c r="AI289" s="44"/>
      <c r="AJ289" s="44"/>
      <c r="AK289" s="44"/>
      <c r="AL289" s="44"/>
      <c r="AM289" s="44"/>
      <c r="AN289" s="44"/>
    </row>
    <row r="290" spans="16:40" x14ac:dyDescent="0.25">
      <c r="P290" s="44"/>
      <c r="Q290" s="44"/>
      <c r="R290" s="44"/>
      <c r="S290" s="44"/>
      <c r="V290" s="44"/>
      <c r="W290" s="44"/>
      <c r="X290" s="44"/>
      <c r="Y290" s="44"/>
      <c r="Z290" s="44"/>
      <c r="AA290" s="44"/>
      <c r="AB290" s="69"/>
      <c r="AC290" s="69"/>
      <c r="AD290" s="69"/>
      <c r="AH290" s="44"/>
      <c r="AI290" s="44"/>
      <c r="AJ290" s="44"/>
      <c r="AK290" s="44"/>
      <c r="AL290" s="44"/>
      <c r="AM290" s="44"/>
      <c r="AN290" s="44"/>
    </row>
    <row r="291" spans="16:40" x14ac:dyDescent="0.25">
      <c r="P291" s="44"/>
      <c r="Q291" s="44"/>
      <c r="R291" s="44"/>
      <c r="S291" s="44"/>
      <c r="V291" s="44"/>
      <c r="W291" s="44"/>
      <c r="X291" s="44"/>
      <c r="Y291" s="44"/>
      <c r="Z291" s="44"/>
      <c r="AA291" s="44"/>
      <c r="AB291" s="69"/>
      <c r="AC291" s="69"/>
      <c r="AD291" s="69"/>
      <c r="AH291" s="44"/>
      <c r="AI291" s="44"/>
      <c r="AJ291" s="44"/>
      <c r="AK291" s="44"/>
      <c r="AL291" s="44"/>
      <c r="AM291" s="44"/>
      <c r="AN291" s="44"/>
    </row>
    <row r="292" spans="16:40" x14ac:dyDescent="0.25">
      <c r="P292" s="44"/>
      <c r="Q292" s="44"/>
      <c r="R292" s="44"/>
      <c r="S292" s="44"/>
      <c r="V292" s="44"/>
      <c r="W292" s="44"/>
      <c r="X292" s="44"/>
      <c r="Y292" s="44"/>
      <c r="Z292" s="44"/>
      <c r="AA292" s="44"/>
      <c r="AB292" s="69"/>
      <c r="AC292" s="69"/>
      <c r="AD292" s="69"/>
      <c r="AH292" s="44"/>
      <c r="AI292" s="44"/>
      <c r="AJ292" s="44"/>
      <c r="AK292" s="44"/>
      <c r="AL292" s="44"/>
      <c r="AM292" s="44"/>
      <c r="AN292" s="44"/>
    </row>
    <row r="293" spans="16:40" x14ac:dyDescent="0.25">
      <c r="P293" s="44"/>
      <c r="Q293" s="44"/>
      <c r="R293" s="44"/>
      <c r="S293" s="44"/>
      <c r="V293" s="44"/>
      <c r="W293" s="44"/>
      <c r="X293" s="44"/>
      <c r="Y293" s="44"/>
      <c r="Z293" s="44"/>
      <c r="AA293" s="44"/>
      <c r="AB293" s="69"/>
      <c r="AC293" s="69"/>
      <c r="AD293" s="69"/>
      <c r="AH293" s="44"/>
      <c r="AI293" s="44"/>
      <c r="AJ293" s="44"/>
      <c r="AK293" s="44"/>
      <c r="AL293" s="44"/>
      <c r="AM293" s="44"/>
      <c r="AN293" s="44"/>
    </row>
    <row r="294" spans="16:40" x14ac:dyDescent="0.25">
      <c r="P294" s="44"/>
      <c r="Q294" s="44"/>
      <c r="R294" s="44"/>
      <c r="S294" s="44"/>
      <c r="V294" s="44"/>
      <c r="W294" s="44"/>
      <c r="X294" s="44"/>
      <c r="Y294" s="44"/>
      <c r="Z294" s="44"/>
      <c r="AA294" s="44"/>
      <c r="AB294" s="69"/>
      <c r="AC294" s="69"/>
      <c r="AD294" s="69"/>
      <c r="AH294" s="44"/>
      <c r="AI294" s="44"/>
      <c r="AJ294" s="44"/>
      <c r="AK294" s="44"/>
      <c r="AL294" s="44"/>
      <c r="AM294" s="44"/>
      <c r="AN294" s="44"/>
    </row>
    <row r="295" spans="16:40" x14ac:dyDescent="0.25">
      <c r="P295" s="44"/>
      <c r="Q295" s="44"/>
      <c r="R295" s="44"/>
      <c r="S295" s="44"/>
      <c r="V295" s="44"/>
      <c r="W295" s="44"/>
      <c r="X295" s="44"/>
      <c r="Y295" s="44"/>
      <c r="Z295" s="44"/>
      <c r="AA295" s="44"/>
      <c r="AB295" s="69"/>
      <c r="AC295" s="69"/>
      <c r="AD295" s="69"/>
      <c r="AH295" s="44"/>
      <c r="AI295" s="44"/>
      <c r="AJ295" s="44"/>
      <c r="AK295" s="44"/>
      <c r="AL295" s="44"/>
      <c r="AM295" s="44"/>
      <c r="AN295" s="44"/>
    </row>
    <row r="296" spans="16:40" x14ac:dyDescent="0.25">
      <c r="P296" s="44"/>
      <c r="Q296" s="44"/>
      <c r="R296" s="44"/>
      <c r="S296" s="44"/>
      <c r="V296" s="44"/>
      <c r="W296" s="44"/>
      <c r="X296" s="44"/>
      <c r="Y296" s="44"/>
      <c r="Z296" s="44"/>
      <c r="AA296" s="44"/>
      <c r="AB296" s="69"/>
      <c r="AC296" s="69"/>
      <c r="AD296" s="69"/>
      <c r="AH296" s="44"/>
      <c r="AI296" s="44"/>
      <c r="AJ296" s="44"/>
      <c r="AK296" s="44"/>
      <c r="AL296" s="44"/>
      <c r="AM296" s="44"/>
      <c r="AN296" s="44"/>
    </row>
    <row r="297" spans="16:40" x14ac:dyDescent="0.25">
      <c r="P297" s="44"/>
      <c r="Q297" s="44"/>
      <c r="R297" s="44"/>
      <c r="S297" s="44"/>
      <c r="V297" s="44"/>
      <c r="W297" s="44"/>
      <c r="X297" s="44"/>
      <c r="Y297" s="44"/>
      <c r="Z297" s="44"/>
      <c r="AA297" s="44"/>
      <c r="AB297" s="69"/>
      <c r="AC297" s="69"/>
      <c r="AD297" s="69"/>
      <c r="AH297" s="44"/>
      <c r="AI297" s="44"/>
      <c r="AJ297" s="44"/>
      <c r="AK297" s="44"/>
      <c r="AL297" s="44"/>
      <c r="AM297" s="44"/>
      <c r="AN297" s="44"/>
    </row>
    <row r="298" spans="16:40" x14ac:dyDescent="0.25">
      <c r="P298" s="44"/>
      <c r="Q298" s="44"/>
      <c r="R298" s="44"/>
      <c r="S298" s="44"/>
      <c r="V298" s="44"/>
      <c r="W298" s="44"/>
      <c r="X298" s="44"/>
      <c r="Y298" s="44"/>
      <c r="Z298" s="44"/>
      <c r="AA298" s="44"/>
      <c r="AB298" s="69"/>
      <c r="AC298" s="69"/>
      <c r="AD298" s="69"/>
      <c r="AH298" s="44"/>
      <c r="AI298" s="44"/>
      <c r="AJ298" s="44"/>
      <c r="AK298" s="44"/>
      <c r="AL298" s="44"/>
      <c r="AM298" s="44"/>
      <c r="AN298" s="44"/>
    </row>
    <row r="299" spans="16:40" x14ac:dyDescent="0.25">
      <c r="P299" s="44"/>
      <c r="Q299" s="44"/>
      <c r="R299" s="44"/>
      <c r="S299" s="44"/>
      <c r="V299" s="44"/>
      <c r="W299" s="44"/>
      <c r="X299" s="44"/>
      <c r="Y299" s="44"/>
      <c r="Z299" s="44"/>
      <c r="AA299" s="44"/>
      <c r="AB299" s="69"/>
      <c r="AC299" s="69"/>
      <c r="AD299" s="69"/>
      <c r="AH299" s="44"/>
      <c r="AI299" s="44"/>
      <c r="AJ299" s="44"/>
      <c r="AK299" s="44"/>
      <c r="AL299" s="44"/>
      <c r="AM299" s="44"/>
      <c r="AN299" s="44"/>
    </row>
    <row r="300" spans="16:40" x14ac:dyDescent="0.25">
      <c r="P300" s="44"/>
      <c r="Q300" s="44"/>
      <c r="R300" s="44"/>
      <c r="S300" s="44"/>
      <c r="V300" s="44"/>
      <c r="W300" s="44"/>
      <c r="X300" s="44"/>
      <c r="Y300" s="44"/>
      <c r="Z300" s="44"/>
      <c r="AA300" s="44"/>
      <c r="AB300" s="69"/>
      <c r="AC300" s="69"/>
      <c r="AD300" s="69"/>
      <c r="AH300" s="44"/>
      <c r="AI300" s="44"/>
      <c r="AJ300" s="44"/>
      <c r="AK300" s="44"/>
      <c r="AL300" s="44"/>
      <c r="AM300" s="44"/>
      <c r="AN300" s="44"/>
    </row>
    <row r="301" spans="16:40" x14ac:dyDescent="0.25">
      <c r="P301" s="44"/>
      <c r="Q301" s="44"/>
      <c r="R301" s="44"/>
      <c r="S301" s="44"/>
      <c r="V301" s="44"/>
      <c r="W301" s="44"/>
      <c r="X301" s="44"/>
      <c r="Y301" s="44"/>
      <c r="Z301" s="44"/>
      <c r="AA301" s="44"/>
      <c r="AB301" s="69"/>
      <c r="AC301" s="69"/>
      <c r="AD301" s="69"/>
      <c r="AH301" s="44"/>
      <c r="AI301" s="44"/>
      <c r="AJ301" s="44"/>
      <c r="AK301" s="44"/>
      <c r="AL301" s="44"/>
      <c r="AM301" s="44"/>
      <c r="AN301" s="44"/>
    </row>
    <row r="302" spans="16:40" x14ac:dyDescent="0.25">
      <c r="P302" s="44"/>
      <c r="Q302" s="44"/>
      <c r="R302" s="44"/>
      <c r="S302" s="44"/>
      <c r="V302" s="44"/>
      <c r="W302" s="44"/>
      <c r="X302" s="44"/>
      <c r="Y302" s="44"/>
      <c r="Z302" s="44"/>
      <c r="AA302" s="44"/>
      <c r="AB302" s="69"/>
      <c r="AC302" s="69"/>
      <c r="AD302" s="69"/>
      <c r="AH302" s="44"/>
      <c r="AI302" s="44"/>
      <c r="AJ302" s="44"/>
      <c r="AK302" s="44"/>
      <c r="AL302" s="44"/>
      <c r="AM302" s="44"/>
      <c r="AN302" s="44"/>
    </row>
    <row r="303" spans="16:40" x14ac:dyDescent="0.25">
      <c r="P303" s="44"/>
      <c r="Q303" s="44"/>
      <c r="R303" s="44"/>
      <c r="S303" s="44"/>
      <c r="V303" s="44"/>
      <c r="W303" s="44"/>
      <c r="X303" s="44"/>
      <c r="Y303" s="44"/>
      <c r="Z303" s="44"/>
      <c r="AA303" s="44"/>
      <c r="AB303" s="69"/>
      <c r="AC303" s="69"/>
      <c r="AD303" s="69"/>
      <c r="AH303" s="44"/>
      <c r="AI303" s="44"/>
      <c r="AJ303" s="44"/>
      <c r="AK303" s="44"/>
      <c r="AL303" s="44"/>
      <c r="AM303" s="44"/>
      <c r="AN303" s="44"/>
    </row>
    <row r="304" spans="16:40" x14ac:dyDescent="0.25">
      <c r="P304" s="44"/>
      <c r="Q304" s="44"/>
      <c r="R304" s="44"/>
      <c r="S304" s="44"/>
      <c r="V304" s="44"/>
      <c r="W304" s="44"/>
      <c r="X304" s="44"/>
      <c r="Y304" s="44"/>
      <c r="Z304" s="44"/>
      <c r="AA304" s="44"/>
      <c r="AB304" s="69"/>
      <c r="AC304" s="69"/>
      <c r="AD304" s="69"/>
      <c r="AH304" s="44"/>
      <c r="AI304" s="44"/>
      <c r="AJ304" s="44"/>
      <c r="AK304" s="44"/>
      <c r="AL304" s="44"/>
      <c r="AM304" s="44"/>
      <c r="AN304" s="44"/>
    </row>
    <row r="305" spans="16:40" x14ac:dyDescent="0.25">
      <c r="P305" s="44"/>
      <c r="Q305" s="44"/>
      <c r="R305" s="44"/>
      <c r="S305" s="44"/>
      <c r="V305" s="44"/>
      <c r="W305" s="44"/>
      <c r="X305" s="44"/>
      <c r="Y305" s="44"/>
      <c r="Z305" s="44"/>
      <c r="AA305" s="44"/>
      <c r="AB305" s="69"/>
      <c r="AC305" s="69"/>
      <c r="AD305" s="69"/>
      <c r="AH305" s="44"/>
      <c r="AI305" s="44"/>
      <c r="AJ305" s="44"/>
      <c r="AK305" s="44"/>
      <c r="AL305" s="44"/>
      <c r="AM305" s="44"/>
      <c r="AN305" s="44"/>
    </row>
    <row r="306" spans="16:40" x14ac:dyDescent="0.25">
      <c r="P306" s="44"/>
      <c r="Q306" s="44"/>
      <c r="R306" s="44"/>
      <c r="S306" s="44"/>
      <c r="V306" s="44"/>
      <c r="W306" s="44"/>
      <c r="X306" s="44"/>
      <c r="Y306" s="44"/>
      <c r="Z306" s="44"/>
      <c r="AA306" s="44"/>
      <c r="AB306" s="69"/>
      <c r="AC306" s="69"/>
      <c r="AD306" s="69"/>
      <c r="AH306" s="44"/>
      <c r="AI306" s="44"/>
      <c r="AJ306" s="44"/>
      <c r="AK306" s="44"/>
      <c r="AL306" s="44"/>
      <c r="AM306" s="44"/>
      <c r="AN306" s="44"/>
    </row>
    <row r="307" spans="16:40" x14ac:dyDescent="0.25">
      <c r="P307" s="44"/>
      <c r="Q307" s="44"/>
      <c r="R307" s="44"/>
      <c r="S307" s="44"/>
      <c r="V307" s="44"/>
      <c r="W307" s="44"/>
      <c r="X307" s="44"/>
      <c r="Y307" s="44"/>
      <c r="Z307" s="44"/>
      <c r="AA307" s="44"/>
      <c r="AB307" s="69"/>
      <c r="AC307" s="69"/>
      <c r="AD307" s="69"/>
      <c r="AH307" s="44"/>
      <c r="AI307" s="44"/>
      <c r="AJ307" s="44"/>
      <c r="AK307" s="44"/>
      <c r="AL307" s="44"/>
      <c r="AM307" s="44"/>
      <c r="AN307" s="44"/>
    </row>
    <row r="308" spans="16:40" x14ac:dyDescent="0.25">
      <c r="P308" s="44"/>
      <c r="Q308" s="44"/>
      <c r="R308" s="44"/>
      <c r="S308" s="44"/>
      <c r="V308" s="44"/>
      <c r="W308" s="44"/>
      <c r="X308" s="44"/>
      <c r="Y308" s="44"/>
      <c r="Z308" s="44"/>
      <c r="AA308" s="44"/>
      <c r="AB308" s="69"/>
      <c r="AC308" s="69"/>
      <c r="AD308" s="69"/>
      <c r="AH308" s="44"/>
      <c r="AI308" s="44"/>
      <c r="AJ308" s="44"/>
      <c r="AK308" s="44"/>
      <c r="AL308" s="44"/>
      <c r="AM308" s="44"/>
      <c r="AN308" s="44"/>
    </row>
    <row r="309" spans="16:40" x14ac:dyDescent="0.25">
      <c r="P309" s="44"/>
      <c r="Q309" s="44"/>
      <c r="R309" s="44"/>
      <c r="S309" s="44"/>
      <c r="V309" s="44"/>
      <c r="W309" s="44"/>
      <c r="X309" s="44"/>
      <c r="Y309" s="44"/>
      <c r="Z309" s="44"/>
      <c r="AA309" s="44"/>
      <c r="AB309" s="69"/>
      <c r="AC309" s="69"/>
      <c r="AD309" s="69"/>
      <c r="AH309" s="44"/>
      <c r="AI309" s="44"/>
      <c r="AJ309" s="44"/>
      <c r="AK309" s="44"/>
      <c r="AL309" s="44"/>
      <c r="AM309" s="44"/>
      <c r="AN309" s="44"/>
    </row>
    <row r="310" spans="16:40" x14ac:dyDescent="0.25">
      <c r="P310" s="44"/>
      <c r="Q310" s="44"/>
      <c r="R310" s="44"/>
      <c r="S310" s="44"/>
      <c r="V310" s="44"/>
      <c r="W310" s="44"/>
      <c r="X310" s="44"/>
      <c r="Y310" s="44"/>
      <c r="Z310" s="44"/>
      <c r="AA310" s="44"/>
      <c r="AB310" s="69"/>
      <c r="AC310" s="69"/>
      <c r="AD310" s="69"/>
      <c r="AH310" s="44"/>
      <c r="AI310" s="44"/>
      <c r="AJ310" s="44"/>
      <c r="AK310" s="44"/>
      <c r="AL310" s="44"/>
      <c r="AM310" s="44"/>
      <c r="AN310" s="44"/>
    </row>
    <row r="311" spans="16:40" x14ac:dyDescent="0.25">
      <c r="P311" s="44"/>
      <c r="Q311" s="44"/>
      <c r="R311" s="44"/>
      <c r="S311" s="44"/>
      <c r="V311" s="44"/>
      <c r="W311" s="44"/>
      <c r="X311" s="44"/>
      <c r="Y311" s="44"/>
      <c r="Z311" s="44"/>
      <c r="AA311" s="44"/>
      <c r="AB311" s="69"/>
      <c r="AC311" s="69"/>
      <c r="AD311" s="69"/>
      <c r="AH311" s="44"/>
      <c r="AI311" s="44"/>
      <c r="AJ311" s="44"/>
      <c r="AK311" s="44"/>
      <c r="AL311" s="44"/>
      <c r="AM311" s="44"/>
      <c r="AN311" s="44"/>
    </row>
    <row r="312" spans="16:40" x14ac:dyDescent="0.25">
      <c r="P312" s="44"/>
      <c r="Q312" s="44"/>
      <c r="R312" s="44"/>
      <c r="S312" s="44"/>
      <c r="V312" s="44"/>
      <c r="W312" s="44"/>
      <c r="X312" s="44"/>
      <c r="Y312" s="44"/>
      <c r="Z312" s="44"/>
      <c r="AA312" s="44"/>
      <c r="AB312" s="69"/>
      <c r="AC312" s="69"/>
      <c r="AD312" s="69"/>
      <c r="AH312" s="44"/>
      <c r="AI312" s="44"/>
      <c r="AJ312" s="44"/>
      <c r="AK312" s="44"/>
      <c r="AL312" s="44"/>
      <c r="AM312" s="44"/>
      <c r="AN312" s="44"/>
    </row>
    <row r="313" spans="16:40" x14ac:dyDescent="0.25">
      <c r="P313" s="44"/>
      <c r="Q313" s="44"/>
      <c r="R313" s="44"/>
      <c r="S313" s="44"/>
      <c r="V313" s="44"/>
      <c r="W313" s="44"/>
      <c r="X313" s="44"/>
      <c r="Y313" s="44"/>
      <c r="Z313" s="44"/>
      <c r="AA313" s="44"/>
      <c r="AB313" s="69"/>
      <c r="AC313" s="69"/>
      <c r="AD313" s="69"/>
      <c r="AH313" s="44"/>
      <c r="AI313" s="44"/>
      <c r="AJ313" s="44"/>
      <c r="AK313" s="44"/>
      <c r="AL313" s="44"/>
      <c r="AM313" s="44"/>
      <c r="AN313" s="44"/>
    </row>
    <row r="314" spans="16:40" x14ac:dyDescent="0.25">
      <c r="P314" s="44"/>
      <c r="Q314" s="44"/>
      <c r="R314" s="44"/>
      <c r="S314" s="44"/>
      <c r="V314" s="44"/>
      <c r="W314" s="44"/>
      <c r="X314" s="44"/>
      <c r="Y314" s="44"/>
      <c r="Z314" s="44"/>
      <c r="AA314" s="44"/>
      <c r="AB314" s="69"/>
      <c r="AC314" s="69"/>
      <c r="AD314" s="69"/>
      <c r="AH314" s="44"/>
      <c r="AI314" s="44"/>
      <c r="AJ314" s="44"/>
      <c r="AK314" s="44"/>
      <c r="AL314" s="44"/>
      <c r="AM314" s="44"/>
      <c r="AN314" s="44"/>
    </row>
    <row r="315" spans="16:40" x14ac:dyDescent="0.25">
      <c r="P315" s="44"/>
      <c r="Q315" s="44"/>
      <c r="R315" s="44"/>
      <c r="S315" s="44"/>
      <c r="V315" s="44"/>
      <c r="W315" s="44"/>
      <c r="X315" s="44"/>
      <c r="Y315" s="44"/>
      <c r="Z315" s="44"/>
      <c r="AA315" s="44"/>
      <c r="AB315" s="69"/>
      <c r="AC315" s="69"/>
      <c r="AD315" s="69"/>
      <c r="AH315" s="44"/>
      <c r="AI315" s="44"/>
      <c r="AJ315" s="44"/>
      <c r="AK315" s="44"/>
      <c r="AL315" s="44"/>
      <c r="AM315" s="44"/>
      <c r="AN315" s="44"/>
    </row>
    <row r="316" spans="16:40" x14ac:dyDescent="0.25">
      <c r="P316" s="44"/>
      <c r="Q316" s="44"/>
      <c r="R316" s="44"/>
      <c r="S316" s="44"/>
      <c r="V316" s="44"/>
      <c r="W316" s="44"/>
      <c r="X316" s="44"/>
      <c r="Y316" s="44"/>
      <c r="Z316" s="44"/>
      <c r="AA316" s="44"/>
      <c r="AB316" s="69"/>
      <c r="AC316" s="69"/>
      <c r="AD316" s="69"/>
      <c r="AH316" s="44"/>
      <c r="AI316" s="44"/>
      <c r="AJ316" s="44"/>
      <c r="AK316" s="44"/>
      <c r="AL316" s="44"/>
      <c r="AM316" s="44"/>
      <c r="AN316" s="44"/>
    </row>
    <row r="317" spans="16:40" x14ac:dyDescent="0.25">
      <c r="P317" s="44"/>
      <c r="Q317" s="44"/>
      <c r="R317" s="44"/>
      <c r="S317" s="44"/>
      <c r="V317" s="44"/>
      <c r="W317" s="44"/>
      <c r="X317" s="44"/>
      <c r="Y317" s="44"/>
      <c r="Z317" s="44"/>
      <c r="AA317" s="44"/>
      <c r="AB317" s="69"/>
      <c r="AC317" s="69"/>
      <c r="AD317" s="69"/>
      <c r="AH317" s="44"/>
      <c r="AI317" s="44"/>
      <c r="AJ317" s="44"/>
      <c r="AK317" s="44"/>
      <c r="AL317" s="44"/>
      <c r="AM317" s="44"/>
      <c r="AN317" s="44"/>
    </row>
    <row r="318" spans="16:40" x14ac:dyDescent="0.25">
      <c r="P318" s="44"/>
      <c r="Q318" s="44"/>
      <c r="R318" s="44"/>
      <c r="S318" s="44"/>
      <c r="V318" s="44"/>
      <c r="W318" s="44"/>
      <c r="X318" s="44"/>
      <c r="Y318" s="44"/>
      <c r="Z318" s="44"/>
      <c r="AA318" s="44"/>
      <c r="AB318" s="69"/>
      <c r="AC318" s="69"/>
      <c r="AD318" s="69"/>
      <c r="AH318" s="44"/>
      <c r="AI318" s="44"/>
      <c r="AJ318" s="44"/>
      <c r="AK318" s="44"/>
      <c r="AL318" s="44"/>
      <c r="AM318" s="44"/>
      <c r="AN318" s="44"/>
    </row>
    <row r="319" spans="16:40" x14ac:dyDescent="0.25">
      <c r="P319" s="44"/>
      <c r="Q319" s="44"/>
      <c r="R319" s="44"/>
      <c r="S319" s="44"/>
      <c r="V319" s="44"/>
      <c r="W319" s="44"/>
      <c r="X319" s="44"/>
      <c r="Y319" s="44"/>
      <c r="Z319" s="44"/>
      <c r="AA319" s="44"/>
      <c r="AB319" s="69"/>
      <c r="AC319" s="69"/>
      <c r="AD319" s="69"/>
      <c r="AH319" s="44"/>
      <c r="AI319" s="44"/>
      <c r="AJ319" s="44"/>
      <c r="AK319" s="44"/>
      <c r="AL319" s="44"/>
      <c r="AM319" s="44"/>
      <c r="AN319" s="44"/>
    </row>
    <row r="320" spans="16:40" x14ac:dyDescent="0.25">
      <c r="P320" s="44"/>
      <c r="Q320" s="44"/>
      <c r="R320" s="44"/>
      <c r="S320" s="44"/>
      <c r="V320" s="44"/>
      <c r="W320" s="44"/>
      <c r="X320" s="44"/>
      <c r="Y320" s="44"/>
      <c r="Z320" s="44"/>
      <c r="AA320" s="44"/>
      <c r="AB320" s="69"/>
      <c r="AC320" s="69"/>
      <c r="AD320" s="69"/>
      <c r="AH320" s="44"/>
      <c r="AI320" s="44"/>
      <c r="AJ320" s="44"/>
      <c r="AK320" s="44"/>
      <c r="AL320" s="44"/>
      <c r="AM320" s="44"/>
      <c r="AN320" s="44"/>
    </row>
    <row r="321" spans="16:40" x14ac:dyDescent="0.25">
      <c r="P321" s="44"/>
      <c r="Q321" s="44"/>
      <c r="R321" s="44"/>
      <c r="S321" s="44"/>
      <c r="V321" s="44"/>
      <c r="W321" s="44"/>
      <c r="X321" s="44"/>
      <c r="Y321" s="44"/>
      <c r="Z321" s="44"/>
      <c r="AA321" s="44"/>
      <c r="AB321" s="69"/>
      <c r="AC321" s="69"/>
      <c r="AD321" s="69"/>
      <c r="AH321" s="44"/>
      <c r="AI321" s="44"/>
      <c r="AJ321" s="44"/>
      <c r="AK321" s="44"/>
      <c r="AL321" s="44"/>
      <c r="AM321" s="44"/>
      <c r="AN321" s="44"/>
    </row>
    <row r="322" spans="16:40" x14ac:dyDescent="0.25">
      <c r="P322" s="44"/>
      <c r="Q322" s="44"/>
      <c r="R322" s="44"/>
      <c r="S322" s="44"/>
      <c r="V322" s="44"/>
      <c r="W322" s="44"/>
      <c r="X322" s="44"/>
      <c r="Y322" s="44"/>
      <c r="Z322" s="44"/>
      <c r="AA322" s="44"/>
      <c r="AB322" s="69"/>
      <c r="AC322" s="69"/>
      <c r="AD322" s="69"/>
      <c r="AH322" s="44"/>
      <c r="AI322" s="44"/>
      <c r="AJ322" s="44"/>
      <c r="AK322" s="44"/>
      <c r="AL322" s="44"/>
      <c r="AM322" s="44"/>
      <c r="AN322" s="44"/>
    </row>
    <row r="323" spans="16:40" x14ac:dyDescent="0.25">
      <c r="P323" s="44"/>
      <c r="Q323" s="44"/>
      <c r="R323" s="44"/>
      <c r="S323" s="44"/>
      <c r="V323" s="44"/>
      <c r="W323" s="44"/>
      <c r="X323" s="44"/>
      <c r="Y323" s="44"/>
      <c r="Z323" s="44"/>
      <c r="AA323" s="44"/>
      <c r="AB323" s="69"/>
      <c r="AC323" s="69"/>
      <c r="AD323" s="69"/>
      <c r="AH323" s="44"/>
      <c r="AI323" s="44"/>
      <c r="AJ323" s="44"/>
      <c r="AK323" s="44"/>
      <c r="AL323" s="44"/>
      <c r="AM323" s="44"/>
      <c r="AN323" s="44"/>
    </row>
    <row r="324" spans="16:40" x14ac:dyDescent="0.25">
      <c r="P324" s="44"/>
      <c r="Q324" s="44"/>
      <c r="R324" s="44"/>
      <c r="S324" s="44"/>
      <c r="V324" s="44"/>
      <c r="W324" s="44"/>
      <c r="X324" s="44"/>
      <c r="Y324" s="44"/>
      <c r="Z324" s="44"/>
      <c r="AA324" s="44"/>
      <c r="AB324" s="69"/>
      <c r="AC324" s="69"/>
      <c r="AD324" s="69"/>
      <c r="AH324" s="44"/>
      <c r="AI324" s="44"/>
      <c r="AJ324" s="44"/>
      <c r="AK324" s="44"/>
      <c r="AL324" s="44"/>
      <c r="AM324" s="44"/>
      <c r="AN324" s="44"/>
    </row>
    <row r="325" spans="16:40" x14ac:dyDescent="0.25">
      <c r="P325" s="44"/>
      <c r="Q325" s="44"/>
      <c r="R325" s="44"/>
      <c r="S325" s="44"/>
      <c r="V325" s="44"/>
      <c r="W325" s="44"/>
      <c r="X325" s="44"/>
      <c r="Y325" s="44"/>
      <c r="Z325" s="44"/>
      <c r="AA325" s="44"/>
      <c r="AB325" s="69"/>
      <c r="AC325" s="69"/>
      <c r="AD325" s="69"/>
      <c r="AH325" s="44"/>
      <c r="AI325" s="44"/>
      <c r="AJ325" s="44"/>
      <c r="AK325" s="44"/>
      <c r="AL325" s="44"/>
      <c r="AM325" s="44"/>
      <c r="AN325" s="44"/>
    </row>
    <row r="326" spans="16:40" x14ac:dyDescent="0.25">
      <c r="P326" s="44"/>
      <c r="Q326" s="44"/>
      <c r="R326" s="44"/>
      <c r="S326" s="44"/>
      <c r="V326" s="44"/>
      <c r="W326" s="44"/>
      <c r="X326" s="44"/>
      <c r="Y326" s="44"/>
      <c r="Z326" s="44"/>
      <c r="AA326" s="44"/>
      <c r="AB326" s="69"/>
      <c r="AC326" s="69"/>
      <c r="AD326" s="69"/>
      <c r="AH326" s="44"/>
      <c r="AI326" s="44"/>
      <c r="AJ326" s="44"/>
      <c r="AK326" s="44"/>
      <c r="AL326" s="44"/>
      <c r="AM326" s="44"/>
      <c r="AN326" s="44"/>
    </row>
    <row r="327" spans="16:40" x14ac:dyDescent="0.25">
      <c r="P327" s="44"/>
      <c r="Q327" s="44"/>
      <c r="R327" s="44"/>
      <c r="S327" s="44"/>
      <c r="V327" s="44"/>
      <c r="W327" s="44"/>
      <c r="X327" s="44"/>
      <c r="Y327" s="44"/>
      <c r="Z327" s="44"/>
      <c r="AA327" s="44"/>
      <c r="AB327" s="69"/>
      <c r="AC327" s="69"/>
      <c r="AD327" s="69"/>
      <c r="AH327" s="44"/>
      <c r="AI327" s="44"/>
      <c r="AJ327" s="44"/>
      <c r="AK327" s="44"/>
      <c r="AL327" s="44"/>
      <c r="AM327" s="44"/>
      <c r="AN327" s="44"/>
    </row>
    <row r="328" spans="16:40" x14ac:dyDescent="0.25">
      <c r="P328" s="44"/>
      <c r="Q328" s="44"/>
      <c r="R328" s="44"/>
      <c r="S328" s="44"/>
      <c r="V328" s="44"/>
      <c r="W328" s="44"/>
      <c r="X328" s="44"/>
      <c r="Y328" s="44"/>
      <c r="Z328" s="44"/>
      <c r="AA328" s="44"/>
      <c r="AB328" s="69"/>
      <c r="AC328" s="69"/>
      <c r="AD328" s="69"/>
      <c r="AH328" s="44"/>
      <c r="AI328" s="44"/>
      <c r="AJ328" s="44"/>
      <c r="AK328" s="44"/>
      <c r="AL328" s="44"/>
      <c r="AM328" s="44"/>
      <c r="AN328" s="44"/>
    </row>
    <row r="329" spans="16:40" x14ac:dyDescent="0.25">
      <c r="P329" s="44"/>
      <c r="Q329" s="44"/>
      <c r="R329" s="44"/>
      <c r="S329" s="44"/>
      <c r="V329" s="44"/>
      <c r="W329" s="44"/>
      <c r="X329" s="44"/>
      <c r="Y329" s="44"/>
      <c r="Z329" s="44"/>
      <c r="AA329" s="44"/>
      <c r="AB329" s="69"/>
      <c r="AC329" s="69"/>
      <c r="AD329" s="69"/>
      <c r="AH329" s="44"/>
      <c r="AI329" s="44"/>
      <c r="AJ329" s="44"/>
      <c r="AK329" s="44"/>
      <c r="AL329" s="44"/>
      <c r="AM329" s="44"/>
      <c r="AN329" s="44"/>
    </row>
    <row r="330" spans="16:40" x14ac:dyDescent="0.25">
      <c r="P330" s="44"/>
      <c r="Q330" s="44"/>
      <c r="R330" s="44"/>
      <c r="S330" s="44"/>
      <c r="V330" s="44"/>
      <c r="W330" s="44"/>
      <c r="X330" s="44"/>
      <c r="Y330" s="44"/>
      <c r="Z330" s="44"/>
      <c r="AA330" s="44"/>
      <c r="AB330" s="69"/>
      <c r="AC330" s="69"/>
      <c r="AD330" s="69"/>
      <c r="AH330" s="44"/>
      <c r="AI330" s="44"/>
      <c r="AJ330" s="44"/>
      <c r="AK330" s="44"/>
      <c r="AL330" s="44"/>
      <c r="AM330" s="44"/>
      <c r="AN330" s="44"/>
    </row>
    <row r="331" spans="16:40" x14ac:dyDescent="0.25">
      <c r="P331" s="44"/>
      <c r="Q331" s="44"/>
      <c r="R331" s="44"/>
      <c r="S331" s="44"/>
      <c r="V331" s="44"/>
      <c r="W331" s="44"/>
      <c r="X331" s="44"/>
      <c r="Y331" s="44"/>
      <c r="Z331" s="44"/>
      <c r="AA331" s="44"/>
      <c r="AB331" s="69"/>
      <c r="AC331" s="69"/>
      <c r="AD331" s="69"/>
      <c r="AH331" s="44"/>
      <c r="AI331" s="44"/>
      <c r="AJ331" s="44"/>
      <c r="AK331" s="44"/>
      <c r="AL331" s="44"/>
      <c r="AM331" s="44"/>
      <c r="AN331" s="44"/>
    </row>
    <row r="332" spans="16:40" x14ac:dyDescent="0.25">
      <c r="P332" s="44"/>
      <c r="Q332" s="44"/>
      <c r="R332" s="44"/>
      <c r="S332" s="44"/>
      <c r="V332" s="44"/>
      <c r="W332" s="44"/>
      <c r="X332" s="44"/>
      <c r="Y332" s="44"/>
      <c r="Z332" s="44"/>
      <c r="AA332" s="44"/>
      <c r="AB332" s="69"/>
      <c r="AC332" s="69"/>
      <c r="AD332" s="69"/>
      <c r="AH332" s="44"/>
      <c r="AI332" s="44"/>
      <c r="AJ332" s="44"/>
      <c r="AK332" s="44"/>
      <c r="AL332" s="44"/>
      <c r="AM332" s="44"/>
      <c r="AN332" s="44"/>
    </row>
    <row r="333" spans="16:40" x14ac:dyDescent="0.25">
      <c r="P333" s="44"/>
      <c r="Q333" s="44"/>
      <c r="R333" s="44"/>
      <c r="S333" s="44"/>
      <c r="V333" s="44"/>
      <c r="W333" s="44"/>
      <c r="X333" s="44"/>
      <c r="Y333" s="44"/>
      <c r="Z333" s="44"/>
      <c r="AA333" s="44"/>
      <c r="AB333" s="69"/>
      <c r="AC333" s="69"/>
      <c r="AD333" s="69"/>
      <c r="AH333" s="44"/>
      <c r="AI333" s="44"/>
      <c r="AJ333" s="44"/>
      <c r="AK333" s="44"/>
      <c r="AL333" s="44"/>
      <c r="AM333" s="44"/>
      <c r="AN333" s="44"/>
    </row>
    <row r="334" spans="16:40" x14ac:dyDescent="0.25">
      <c r="P334" s="44"/>
      <c r="Q334" s="44"/>
      <c r="R334" s="44"/>
      <c r="S334" s="44"/>
      <c r="V334" s="44"/>
      <c r="W334" s="44"/>
      <c r="X334" s="44"/>
      <c r="Y334" s="44"/>
      <c r="Z334" s="44"/>
      <c r="AA334" s="44"/>
      <c r="AB334" s="69"/>
      <c r="AC334" s="69"/>
      <c r="AD334" s="69"/>
      <c r="AH334" s="44"/>
      <c r="AI334" s="44"/>
      <c r="AJ334" s="44"/>
      <c r="AK334" s="44"/>
      <c r="AL334" s="44"/>
      <c r="AM334" s="44"/>
      <c r="AN334" s="44"/>
    </row>
    <row r="335" spans="16:40" x14ac:dyDescent="0.25">
      <c r="P335" s="44"/>
      <c r="Q335" s="44"/>
      <c r="R335" s="44"/>
      <c r="S335" s="44"/>
      <c r="V335" s="44"/>
      <c r="W335" s="44"/>
      <c r="X335" s="44"/>
      <c r="Y335" s="44"/>
      <c r="Z335" s="44"/>
      <c r="AA335" s="44"/>
      <c r="AB335" s="69"/>
      <c r="AC335" s="69"/>
      <c r="AD335" s="69"/>
      <c r="AH335" s="44"/>
      <c r="AI335" s="44"/>
      <c r="AJ335" s="44"/>
      <c r="AK335" s="44"/>
      <c r="AL335" s="44"/>
      <c r="AM335" s="44"/>
      <c r="AN335" s="44"/>
    </row>
    <row r="336" spans="16:40" x14ac:dyDescent="0.25">
      <c r="P336" s="44"/>
      <c r="Q336" s="44"/>
      <c r="R336" s="44"/>
      <c r="S336" s="44"/>
      <c r="V336" s="44"/>
      <c r="W336" s="44"/>
      <c r="X336" s="44"/>
      <c r="Y336" s="44"/>
      <c r="Z336" s="44"/>
      <c r="AA336" s="44"/>
      <c r="AB336" s="69"/>
      <c r="AC336" s="69"/>
      <c r="AD336" s="69"/>
      <c r="AH336" s="44"/>
      <c r="AI336" s="44"/>
      <c r="AJ336" s="44"/>
      <c r="AK336" s="44"/>
      <c r="AL336" s="44"/>
      <c r="AM336" s="44"/>
      <c r="AN336" s="44"/>
    </row>
    <row r="337" spans="16:40" x14ac:dyDescent="0.25">
      <c r="P337" s="44"/>
      <c r="Q337" s="44"/>
      <c r="R337" s="44"/>
      <c r="S337" s="44"/>
      <c r="V337" s="44"/>
      <c r="W337" s="44"/>
      <c r="X337" s="44"/>
      <c r="Y337" s="44"/>
      <c r="Z337" s="44"/>
      <c r="AA337" s="44"/>
      <c r="AB337" s="69"/>
      <c r="AC337" s="69"/>
      <c r="AD337" s="69"/>
      <c r="AH337" s="44"/>
      <c r="AI337" s="44"/>
      <c r="AJ337" s="44"/>
      <c r="AK337" s="44"/>
      <c r="AL337" s="44"/>
      <c r="AM337" s="44"/>
      <c r="AN337" s="44"/>
    </row>
    <row r="338" spans="16:40" x14ac:dyDescent="0.25">
      <c r="P338" s="44"/>
      <c r="Q338" s="44"/>
      <c r="R338" s="44"/>
      <c r="S338" s="44"/>
      <c r="V338" s="44"/>
      <c r="W338" s="44"/>
      <c r="X338" s="44"/>
      <c r="Y338" s="44"/>
      <c r="Z338" s="44"/>
      <c r="AA338" s="44"/>
      <c r="AB338" s="69"/>
      <c r="AC338" s="69"/>
      <c r="AD338" s="69"/>
      <c r="AH338" s="44"/>
      <c r="AI338" s="44"/>
      <c r="AJ338" s="44"/>
      <c r="AK338" s="44"/>
      <c r="AL338" s="44"/>
      <c r="AM338" s="44"/>
      <c r="AN338" s="44"/>
    </row>
    <row r="339" spans="16:40" x14ac:dyDescent="0.25">
      <c r="P339" s="44"/>
      <c r="Q339" s="44"/>
      <c r="R339" s="44"/>
      <c r="S339" s="44"/>
      <c r="V339" s="44"/>
      <c r="W339" s="44"/>
      <c r="X339" s="44"/>
      <c r="Y339" s="44"/>
      <c r="Z339" s="44"/>
      <c r="AA339" s="44"/>
      <c r="AB339" s="69"/>
      <c r="AC339" s="69"/>
      <c r="AD339" s="69"/>
      <c r="AH339" s="44"/>
      <c r="AI339" s="44"/>
      <c r="AJ339" s="44"/>
      <c r="AK339" s="44"/>
      <c r="AL339" s="44"/>
      <c r="AM339" s="44"/>
      <c r="AN339" s="44"/>
    </row>
    <row r="340" spans="16:40" x14ac:dyDescent="0.25">
      <c r="P340" s="44"/>
      <c r="Q340" s="44"/>
      <c r="R340" s="44"/>
      <c r="S340" s="44"/>
      <c r="V340" s="44"/>
      <c r="W340" s="44"/>
      <c r="X340" s="44"/>
      <c r="Y340" s="44"/>
      <c r="Z340" s="44"/>
      <c r="AA340" s="44"/>
      <c r="AB340" s="69"/>
      <c r="AC340" s="69"/>
      <c r="AD340" s="69"/>
      <c r="AH340" s="44"/>
      <c r="AI340" s="44"/>
      <c r="AJ340" s="44"/>
      <c r="AK340" s="44"/>
      <c r="AL340" s="44"/>
      <c r="AM340" s="44"/>
      <c r="AN340" s="44"/>
    </row>
    <row r="341" spans="16:40" x14ac:dyDescent="0.25">
      <c r="P341" s="44"/>
      <c r="Q341" s="44"/>
      <c r="R341" s="44"/>
      <c r="S341" s="44"/>
      <c r="V341" s="44"/>
      <c r="W341" s="44"/>
      <c r="X341" s="44"/>
      <c r="Y341" s="44"/>
      <c r="Z341" s="44"/>
      <c r="AA341" s="44"/>
      <c r="AB341" s="69"/>
      <c r="AC341" s="69"/>
      <c r="AD341" s="69"/>
      <c r="AH341" s="44"/>
      <c r="AI341" s="44"/>
      <c r="AJ341" s="44"/>
      <c r="AK341" s="44"/>
      <c r="AL341" s="44"/>
      <c r="AM341" s="44"/>
      <c r="AN341" s="44"/>
    </row>
    <row r="342" spans="16:40" x14ac:dyDescent="0.25">
      <c r="P342" s="44"/>
      <c r="Q342" s="44"/>
      <c r="R342" s="44"/>
      <c r="S342" s="44"/>
      <c r="V342" s="44"/>
      <c r="W342" s="44"/>
      <c r="X342" s="44"/>
      <c r="Y342" s="44"/>
      <c r="Z342" s="44"/>
      <c r="AA342" s="44"/>
      <c r="AB342" s="69"/>
      <c r="AC342" s="69"/>
      <c r="AD342" s="69"/>
      <c r="AH342" s="44"/>
      <c r="AI342" s="44"/>
      <c r="AJ342" s="44"/>
      <c r="AK342" s="44"/>
      <c r="AL342" s="44"/>
      <c r="AM342" s="44"/>
      <c r="AN342" s="44"/>
    </row>
    <row r="343" spans="16:40" x14ac:dyDescent="0.25">
      <c r="P343" s="44"/>
      <c r="Q343" s="44"/>
      <c r="R343" s="44"/>
      <c r="S343" s="44"/>
      <c r="V343" s="44"/>
      <c r="W343" s="44"/>
      <c r="X343" s="44"/>
      <c r="Y343" s="44"/>
      <c r="Z343" s="44"/>
      <c r="AA343" s="44"/>
      <c r="AB343" s="69"/>
      <c r="AC343" s="69"/>
      <c r="AD343" s="69"/>
      <c r="AH343" s="44"/>
      <c r="AI343" s="44"/>
      <c r="AJ343" s="44"/>
      <c r="AK343" s="44"/>
      <c r="AL343" s="44"/>
      <c r="AM343" s="44"/>
      <c r="AN343" s="44"/>
    </row>
    <row r="344" spans="16:40" x14ac:dyDescent="0.25">
      <c r="P344" s="44"/>
      <c r="Q344" s="44"/>
      <c r="R344" s="44"/>
      <c r="S344" s="44"/>
      <c r="V344" s="44"/>
      <c r="W344" s="44"/>
      <c r="X344" s="44"/>
      <c r="Y344" s="44"/>
      <c r="Z344" s="44"/>
      <c r="AA344" s="44"/>
      <c r="AB344" s="69"/>
      <c r="AC344" s="69"/>
      <c r="AD344" s="69"/>
      <c r="AH344" s="44"/>
      <c r="AI344" s="44"/>
      <c r="AJ344" s="44"/>
      <c r="AK344" s="44"/>
      <c r="AL344" s="44"/>
      <c r="AM344" s="44"/>
      <c r="AN344" s="44"/>
    </row>
    <row r="345" spans="16:40" x14ac:dyDescent="0.25">
      <c r="P345" s="44"/>
      <c r="Q345" s="44"/>
      <c r="R345" s="44"/>
      <c r="S345" s="44"/>
      <c r="V345" s="44"/>
      <c r="W345" s="44"/>
      <c r="X345" s="44"/>
      <c r="Y345" s="44"/>
      <c r="Z345" s="44"/>
      <c r="AA345" s="44"/>
      <c r="AB345" s="69"/>
      <c r="AC345" s="69"/>
      <c r="AD345" s="69"/>
      <c r="AH345" s="44"/>
      <c r="AI345" s="44"/>
      <c r="AJ345" s="44"/>
      <c r="AK345" s="44"/>
      <c r="AL345" s="44"/>
      <c r="AM345" s="44"/>
      <c r="AN345" s="44"/>
    </row>
    <row r="346" spans="16:40" x14ac:dyDescent="0.25">
      <c r="P346" s="44"/>
      <c r="Q346" s="44"/>
      <c r="R346" s="44"/>
      <c r="S346" s="44"/>
      <c r="V346" s="44"/>
      <c r="W346" s="44"/>
      <c r="X346" s="44"/>
      <c r="Y346" s="44"/>
      <c r="Z346" s="44"/>
      <c r="AA346" s="44"/>
      <c r="AB346" s="69"/>
      <c r="AC346" s="69"/>
      <c r="AD346" s="69"/>
      <c r="AH346" s="44"/>
      <c r="AI346" s="44"/>
      <c r="AJ346" s="44"/>
      <c r="AK346" s="44"/>
      <c r="AL346" s="44"/>
      <c r="AM346" s="44"/>
      <c r="AN346" s="44"/>
    </row>
    <row r="347" spans="16:40" x14ac:dyDescent="0.25">
      <c r="P347" s="44"/>
      <c r="Q347" s="44"/>
      <c r="R347" s="44"/>
      <c r="S347" s="44"/>
      <c r="V347" s="44"/>
      <c r="W347" s="44"/>
      <c r="X347" s="44"/>
      <c r="Y347" s="44"/>
      <c r="Z347" s="44"/>
      <c r="AA347" s="44"/>
      <c r="AB347" s="69"/>
      <c r="AC347" s="69"/>
      <c r="AD347" s="69"/>
      <c r="AH347" s="44"/>
      <c r="AI347" s="44"/>
      <c r="AJ347" s="44"/>
      <c r="AK347" s="44"/>
      <c r="AL347" s="44"/>
      <c r="AM347" s="44"/>
      <c r="AN347" s="44"/>
    </row>
    <row r="348" spans="16:40" x14ac:dyDescent="0.25">
      <c r="P348" s="44"/>
      <c r="Q348" s="44"/>
      <c r="R348" s="44"/>
      <c r="S348" s="44"/>
      <c r="V348" s="44"/>
      <c r="W348" s="44"/>
      <c r="X348" s="44"/>
      <c r="Y348" s="44"/>
      <c r="Z348" s="44"/>
      <c r="AA348" s="44"/>
      <c r="AB348" s="69"/>
      <c r="AC348" s="69"/>
      <c r="AD348" s="69"/>
      <c r="AH348" s="44"/>
      <c r="AI348" s="44"/>
      <c r="AJ348" s="44"/>
      <c r="AK348" s="44"/>
      <c r="AL348" s="44"/>
      <c r="AM348" s="44"/>
      <c r="AN348" s="44"/>
    </row>
    <row r="349" spans="16:40" x14ac:dyDescent="0.25">
      <c r="P349" s="44"/>
      <c r="Q349" s="44"/>
      <c r="R349" s="44"/>
      <c r="S349" s="44"/>
      <c r="V349" s="44"/>
      <c r="W349" s="44"/>
      <c r="X349" s="44"/>
      <c r="Y349" s="44"/>
      <c r="Z349" s="44"/>
      <c r="AA349" s="44"/>
      <c r="AB349" s="69"/>
      <c r="AC349" s="69"/>
      <c r="AD349" s="69"/>
      <c r="AH349" s="44"/>
      <c r="AI349" s="44"/>
      <c r="AJ349" s="44"/>
      <c r="AK349" s="44"/>
      <c r="AL349" s="44"/>
      <c r="AM349" s="44"/>
      <c r="AN349" s="44"/>
    </row>
    <row r="350" spans="16:40" x14ac:dyDescent="0.25">
      <c r="P350" s="44"/>
      <c r="Q350" s="44"/>
      <c r="R350" s="44"/>
      <c r="S350" s="44"/>
      <c r="V350" s="44"/>
      <c r="W350" s="44"/>
      <c r="X350" s="44"/>
      <c r="Y350" s="44"/>
      <c r="Z350" s="44"/>
      <c r="AA350" s="44"/>
      <c r="AB350" s="69"/>
      <c r="AC350" s="69"/>
      <c r="AD350" s="69"/>
      <c r="AH350" s="44"/>
      <c r="AI350" s="44"/>
      <c r="AJ350" s="44"/>
      <c r="AK350" s="44"/>
      <c r="AL350" s="44"/>
      <c r="AM350" s="44"/>
      <c r="AN350" s="44"/>
    </row>
    <row r="351" spans="16:40" x14ac:dyDescent="0.25">
      <c r="P351" s="44"/>
      <c r="Q351" s="44"/>
      <c r="R351" s="44"/>
      <c r="S351" s="44"/>
      <c r="V351" s="44"/>
      <c r="W351" s="44"/>
      <c r="X351" s="44"/>
      <c r="Y351" s="44"/>
      <c r="Z351" s="44"/>
      <c r="AA351" s="44"/>
      <c r="AB351" s="69"/>
      <c r="AC351" s="69"/>
      <c r="AD351" s="69"/>
      <c r="AH351" s="44"/>
      <c r="AI351" s="44"/>
      <c r="AJ351" s="44"/>
      <c r="AK351" s="44"/>
      <c r="AL351" s="44"/>
      <c r="AM351" s="44"/>
      <c r="AN351" s="44"/>
    </row>
    <row r="352" spans="16:40" x14ac:dyDescent="0.25">
      <c r="P352" s="44"/>
      <c r="Q352" s="44"/>
      <c r="R352" s="44"/>
      <c r="S352" s="44"/>
      <c r="V352" s="44"/>
      <c r="W352" s="44"/>
      <c r="X352" s="44"/>
      <c r="Y352" s="44"/>
      <c r="Z352" s="44"/>
      <c r="AA352" s="44"/>
      <c r="AB352" s="69"/>
      <c r="AC352" s="69"/>
      <c r="AD352" s="69"/>
      <c r="AH352" s="44"/>
      <c r="AI352" s="44"/>
      <c r="AJ352" s="44"/>
      <c r="AK352" s="44"/>
      <c r="AL352" s="44"/>
      <c r="AM352" s="44"/>
      <c r="AN352" s="44"/>
    </row>
    <row r="353" spans="16:40" x14ac:dyDescent="0.25">
      <c r="P353" s="44"/>
      <c r="Q353" s="44"/>
      <c r="R353" s="44"/>
      <c r="S353" s="44"/>
      <c r="V353" s="44"/>
      <c r="W353" s="44"/>
      <c r="X353" s="44"/>
      <c r="Y353" s="44"/>
      <c r="Z353" s="44"/>
      <c r="AA353" s="44"/>
      <c r="AB353" s="69"/>
      <c r="AC353" s="69"/>
      <c r="AD353" s="69"/>
      <c r="AH353" s="44"/>
      <c r="AI353" s="44"/>
      <c r="AJ353" s="44"/>
      <c r="AK353" s="44"/>
      <c r="AL353" s="44"/>
      <c r="AM353" s="44"/>
      <c r="AN353" s="44"/>
    </row>
    <row r="354" spans="16:40" x14ac:dyDescent="0.25">
      <c r="P354" s="44"/>
      <c r="Q354" s="44"/>
      <c r="R354" s="44"/>
      <c r="S354" s="44"/>
      <c r="V354" s="44"/>
      <c r="W354" s="44"/>
      <c r="X354" s="44"/>
      <c r="Y354" s="44"/>
      <c r="Z354" s="44"/>
      <c r="AA354" s="44"/>
      <c r="AB354" s="69"/>
      <c r="AC354" s="69"/>
      <c r="AD354" s="69"/>
      <c r="AH354" s="44"/>
      <c r="AI354" s="44"/>
      <c r="AJ354" s="44"/>
      <c r="AK354" s="44"/>
      <c r="AL354" s="44"/>
      <c r="AM354" s="44"/>
      <c r="AN354" s="44"/>
    </row>
    <row r="355" spans="16:40" x14ac:dyDescent="0.25">
      <c r="P355" s="44"/>
      <c r="Q355" s="44"/>
      <c r="R355" s="44"/>
      <c r="S355" s="44"/>
      <c r="V355" s="44"/>
      <c r="W355" s="44"/>
      <c r="X355" s="44"/>
      <c r="Y355" s="44"/>
      <c r="Z355" s="44"/>
      <c r="AA355" s="44"/>
      <c r="AB355" s="69"/>
      <c r="AC355" s="69"/>
      <c r="AD355" s="69"/>
      <c r="AH355" s="44"/>
      <c r="AI355" s="44"/>
      <c r="AJ355" s="44"/>
      <c r="AK355" s="44"/>
      <c r="AL355" s="44"/>
      <c r="AM355" s="44"/>
      <c r="AN355" s="44"/>
    </row>
    <row r="356" spans="16:40" x14ac:dyDescent="0.25">
      <c r="P356" s="44"/>
      <c r="Q356" s="44"/>
      <c r="R356" s="44"/>
      <c r="S356" s="44"/>
      <c r="V356" s="44"/>
      <c r="W356" s="44"/>
      <c r="X356" s="44"/>
      <c r="Y356" s="44"/>
      <c r="Z356" s="44"/>
      <c r="AA356" s="44"/>
      <c r="AB356" s="69"/>
      <c r="AC356" s="69"/>
      <c r="AD356" s="69"/>
      <c r="AH356" s="44"/>
      <c r="AI356" s="44"/>
      <c r="AJ356" s="44"/>
      <c r="AK356" s="44"/>
      <c r="AL356" s="44"/>
      <c r="AM356" s="44"/>
      <c r="AN356" s="44"/>
    </row>
    <row r="357" spans="16:40" x14ac:dyDescent="0.25">
      <c r="P357" s="44"/>
      <c r="Q357" s="44"/>
      <c r="R357" s="44"/>
      <c r="S357" s="44"/>
      <c r="V357" s="44"/>
      <c r="W357" s="44"/>
      <c r="X357" s="44"/>
      <c r="Y357" s="44"/>
      <c r="Z357" s="44"/>
      <c r="AA357" s="44"/>
      <c r="AB357" s="69"/>
      <c r="AC357" s="69"/>
      <c r="AD357" s="69"/>
      <c r="AH357" s="44"/>
      <c r="AI357" s="44"/>
      <c r="AJ357" s="44"/>
      <c r="AK357" s="44"/>
      <c r="AL357" s="44"/>
      <c r="AM357" s="44"/>
      <c r="AN357" s="44"/>
    </row>
    <row r="358" spans="16:40" x14ac:dyDescent="0.25">
      <c r="P358" s="44"/>
      <c r="Q358" s="44"/>
      <c r="R358" s="44"/>
      <c r="S358" s="44"/>
      <c r="V358" s="44"/>
      <c r="W358" s="44"/>
      <c r="X358" s="44"/>
      <c r="Y358" s="44"/>
      <c r="Z358" s="44"/>
      <c r="AA358" s="44"/>
      <c r="AB358" s="69"/>
      <c r="AC358" s="69"/>
      <c r="AD358" s="69"/>
      <c r="AH358" s="44"/>
      <c r="AI358" s="44"/>
      <c r="AJ358" s="44"/>
      <c r="AK358" s="44"/>
      <c r="AL358" s="44"/>
      <c r="AM358" s="44"/>
      <c r="AN358" s="44"/>
    </row>
    <row r="359" spans="16:40" x14ac:dyDescent="0.25">
      <c r="P359" s="44"/>
      <c r="Q359" s="44"/>
      <c r="R359" s="44"/>
      <c r="S359" s="44"/>
      <c r="V359" s="44"/>
      <c r="W359" s="44"/>
      <c r="X359" s="44"/>
      <c r="Y359" s="44"/>
      <c r="Z359" s="44"/>
      <c r="AA359" s="44"/>
      <c r="AB359" s="69"/>
      <c r="AC359" s="69"/>
      <c r="AD359" s="69"/>
      <c r="AH359" s="44"/>
      <c r="AI359" s="44"/>
      <c r="AJ359" s="44"/>
      <c r="AK359" s="44"/>
      <c r="AL359" s="44"/>
      <c r="AM359" s="44"/>
      <c r="AN359" s="44"/>
    </row>
    <row r="360" spans="16:40" x14ac:dyDescent="0.25">
      <c r="P360" s="44"/>
      <c r="Q360" s="44"/>
      <c r="R360" s="44"/>
      <c r="S360" s="44"/>
      <c r="V360" s="44"/>
      <c r="W360" s="44"/>
      <c r="X360" s="44"/>
      <c r="Y360" s="44"/>
      <c r="Z360" s="44"/>
      <c r="AA360" s="44"/>
      <c r="AB360" s="69"/>
      <c r="AC360" s="69"/>
      <c r="AD360" s="69"/>
      <c r="AH360" s="44"/>
      <c r="AI360" s="44"/>
      <c r="AJ360" s="44"/>
      <c r="AK360" s="44"/>
      <c r="AL360" s="44"/>
      <c r="AM360" s="44"/>
      <c r="AN360" s="44"/>
    </row>
    <row r="361" spans="16:40" x14ac:dyDescent="0.25">
      <c r="P361" s="44"/>
      <c r="Q361" s="44"/>
      <c r="R361" s="44"/>
      <c r="S361" s="44"/>
      <c r="V361" s="44"/>
      <c r="W361" s="44"/>
      <c r="X361" s="44"/>
      <c r="Y361" s="44"/>
      <c r="Z361" s="44"/>
      <c r="AA361" s="44"/>
      <c r="AB361" s="69"/>
      <c r="AC361" s="69"/>
      <c r="AD361" s="69"/>
      <c r="AH361" s="44"/>
      <c r="AI361" s="44"/>
      <c r="AJ361" s="44"/>
      <c r="AK361" s="44"/>
      <c r="AL361" s="44"/>
      <c r="AM361" s="44"/>
      <c r="AN361" s="44"/>
    </row>
    <row r="362" spans="16:40" x14ac:dyDescent="0.25">
      <c r="P362" s="44"/>
      <c r="Q362" s="44"/>
      <c r="R362" s="44"/>
      <c r="S362" s="44"/>
      <c r="V362" s="44"/>
      <c r="W362" s="44"/>
      <c r="X362" s="44"/>
      <c r="Y362" s="44"/>
      <c r="Z362" s="44"/>
      <c r="AA362" s="44"/>
      <c r="AB362" s="69"/>
      <c r="AC362" s="69"/>
      <c r="AD362" s="69"/>
      <c r="AH362" s="44"/>
      <c r="AI362" s="44"/>
      <c r="AJ362" s="44"/>
      <c r="AK362" s="44"/>
      <c r="AL362" s="44"/>
      <c r="AM362" s="44"/>
      <c r="AN362" s="44"/>
    </row>
    <row r="363" spans="16:40" x14ac:dyDescent="0.25">
      <c r="P363" s="44"/>
      <c r="Q363" s="44"/>
      <c r="R363" s="44"/>
      <c r="S363" s="44"/>
      <c r="V363" s="44"/>
      <c r="W363" s="44"/>
      <c r="X363" s="44"/>
      <c r="Y363" s="44"/>
      <c r="Z363" s="44"/>
      <c r="AA363" s="44"/>
      <c r="AB363" s="69"/>
      <c r="AC363" s="69"/>
      <c r="AD363" s="69"/>
      <c r="AH363" s="44"/>
      <c r="AI363" s="44"/>
      <c r="AJ363" s="44"/>
      <c r="AK363" s="44"/>
      <c r="AL363" s="44"/>
      <c r="AM363" s="44"/>
      <c r="AN363" s="44"/>
    </row>
    <row r="364" spans="16:40" x14ac:dyDescent="0.25">
      <c r="P364" s="44"/>
      <c r="Q364" s="44"/>
      <c r="R364" s="44"/>
      <c r="S364" s="44"/>
      <c r="V364" s="44"/>
      <c r="W364" s="44"/>
      <c r="X364" s="44"/>
      <c r="Y364" s="44"/>
      <c r="Z364" s="44"/>
      <c r="AA364" s="44"/>
      <c r="AB364" s="69"/>
      <c r="AC364" s="69"/>
      <c r="AD364" s="69"/>
      <c r="AH364" s="44"/>
      <c r="AI364" s="44"/>
      <c r="AJ364" s="44"/>
      <c r="AK364" s="44"/>
      <c r="AL364" s="44"/>
      <c r="AM364" s="44"/>
      <c r="AN364" s="44"/>
    </row>
    <row r="365" spans="16:40" x14ac:dyDescent="0.25">
      <c r="P365" s="44"/>
      <c r="Q365" s="44"/>
      <c r="R365" s="44"/>
      <c r="S365" s="44"/>
      <c r="V365" s="44"/>
      <c r="W365" s="44"/>
      <c r="X365" s="44"/>
      <c r="Y365" s="44"/>
      <c r="Z365" s="44"/>
      <c r="AA365" s="44"/>
      <c r="AB365" s="69"/>
      <c r="AC365" s="69"/>
      <c r="AD365" s="69"/>
      <c r="AH365" s="44"/>
      <c r="AI365" s="44"/>
      <c r="AJ365" s="44"/>
      <c r="AK365" s="44"/>
      <c r="AL365" s="44"/>
      <c r="AM365" s="44"/>
      <c r="AN365" s="44"/>
    </row>
    <row r="366" spans="16:40" x14ac:dyDescent="0.25">
      <c r="P366" s="44"/>
      <c r="Q366" s="44"/>
      <c r="R366" s="44"/>
      <c r="S366" s="44"/>
      <c r="V366" s="44"/>
      <c r="W366" s="44"/>
      <c r="X366" s="44"/>
      <c r="Y366" s="44"/>
      <c r="Z366" s="44"/>
      <c r="AA366" s="44"/>
      <c r="AB366" s="69"/>
      <c r="AC366" s="69"/>
      <c r="AD366" s="69"/>
      <c r="AH366" s="44"/>
      <c r="AI366" s="44"/>
      <c r="AJ366" s="44"/>
      <c r="AK366" s="44"/>
      <c r="AL366" s="44"/>
      <c r="AM366" s="44"/>
      <c r="AN366" s="44"/>
    </row>
    <row r="367" spans="16:40" x14ac:dyDescent="0.25">
      <c r="P367" s="44"/>
      <c r="Q367" s="44"/>
      <c r="R367" s="44"/>
      <c r="S367" s="44"/>
      <c r="V367" s="44"/>
      <c r="W367" s="44"/>
      <c r="X367" s="44"/>
      <c r="Y367" s="44"/>
      <c r="Z367" s="44"/>
      <c r="AA367" s="44"/>
      <c r="AB367" s="69"/>
      <c r="AC367" s="69"/>
      <c r="AD367" s="69"/>
      <c r="AH367" s="44"/>
      <c r="AI367" s="44"/>
      <c r="AJ367" s="44"/>
      <c r="AK367" s="44"/>
      <c r="AL367" s="44"/>
      <c r="AM367" s="44"/>
      <c r="AN367" s="44"/>
    </row>
    <row r="368" spans="16:40" x14ac:dyDescent="0.25">
      <c r="P368" s="44"/>
      <c r="Q368" s="44"/>
      <c r="R368" s="44"/>
      <c r="S368" s="44"/>
      <c r="V368" s="44"/>
      <c r="W368" s="44"/>
      <c r="X368" s="44"/>
      <c r="Y368" s="44"/>
      <c r="Z368" s="44"/>
      <c r="AA368" s="44"/>
      <c r="AB368" s="69"/>
      <c r="AC368" s="69"/>
      <c r="AD368" s="69"/>
      <c r="AH368" s="44"/>
      <c r="AI368" s="44"/>
      <c r="AJ368" s="44"/>
      <c r="AK368" s="44"/>
      <c r="AL368" s="44"/>
      <c r="AM368" s="44"/>
      <c r="AN368" s="44"/>
    </row>
    <row r="369" spans="16:40" x14ac:dyDescent="0.25">
      <c r="P369" s="44"/>
      <c r="Q369" s="44"/>
      <c r="R369" s="44"/>
      <c r="S369" s="44"/>
      <c r="V369" s="44"/>
      <c r="W369" s="44"/>
      <c r="X369" s="44"/>
      <c r="Y369" s="44"/>
      <c r="Z369" s="44"/>
      <c r="AA369" s="44"/>
      <c r="AB369" s="69"/>
      <c r="AC369" s="69"/>
      <c r="AD369" s="69"/>
      <c r="AH369" s="44"/>
      <c r="AI369" s="44"/>
      <c r="AJ369" s="44"/>
      <c r="AK369" s="44"/>
      <c r="AL369" s="44"/>
      <c r="AM369" s="44"/>
      <c r="AN369" s="44"/>
    </row>
    <row r="370" spans="16:40" x14ac:dyDescent="0.25">
      <c r="P370" s="44"/>
      <c r="Q370" s="44"/>
      <c r="R370" s="44"/>
      <c r="S370" s="44"/>
      <c r="V370" s="44"/>
      <c r="W370" s="44"/>
      <c r="X370" s="44"/>
      <c r="Y370" s="44"/>
      <c r="Z370" s="44"/>
      <c r="AA370" s="44"/>
      <c r="AB370" s="69"/>
      <c r="AC370" s="69"/>
      <c r="AD370" s="69"/>
      <c r="AH370" s="44"/>
      <c r="AI370" s="44"/>
      <c r="AJ370" s="44"/>
      <c r="AK370" s="44"/>
      <c r="AL370" s="44"/>
      <c r="AM370" s="44"/>
      <c r="AN370" s="44"/>
    </row>
    <row r="371" spans="16:40" x14ac:dyDescent="0.25">
      <c r="P371" s="44"/>
      <c r="Q371" s="44"/>
      <c r="R371" s="44"/>
      <c r="S371" s="44"/>
      <c r="V371" s="44"/>
      <c r="W371" s="44"/>
      <c r="X371" s="44"/>
      <c r="Y371" s="44"/>
      <c r="Z371" s="44"/>
      <c r="AA371" s="44"/>
      <c r="AB371" s="69"/>
      <c r="AC371" s="69"/>
      <c r="AD371" s="69"/>
      <c r="AH371" s="44"/>
      <c r="AI371" s="44"/>
      <c r="AJ371" s="44"/>
      <c r="AK371" s="44"/>
      <c r="AL371" s="44"/>
      <c r="AM371" s="44"/>
      <c r="AN371" s="44"/>
    </row>
    <row r="372" spans="16:40" x14ac:dyDescent="0.25">
      <c r="P372" s="44"/>
      <c r="Q372" s="44"/>
      <c r="R372" s="44"/>
      <c r="S372" s="44"/>
      <c r="V372" s="44"/>
      <c r="W372" s="44"/>
      <c r="X372" s="44"/>
      <c r="Y372" s="44"/>
      <c r="Z372" s="44"/>
      <c r="AA372" s="44"/>
      <c r="AB372" s="69"/>
      <c r="AC372" s="69"/>
      <c r="AD372" s="69"/>
      <c r="AH372" s="44"/>
      <c r="AI372" s="44"/>
      <c r="AJ372" s="44"/>
      <c r="AK372" s="44"/>
      <c r="AL372" s="44"/>
      <c r="AM372" s="44"/>
      <c r="AN372" s="44"/>
    </row>
    <row r="373" spans="16:40" x14ac:dyDescent="0.25">
      <c r="P373" s="44"/>
      <c r="Q373" s="44"/>
      <c r="R373" s="44"/>
      <c r="S373" s="44"/>
      <c r="V373" s="44"/>
      <c r="W373" s="44"/>
      <c r="X373" s="44"/>
      <c r="Y373" s="44"/>
      <c r="Z373" s="44"/>
      <c r="AA373" s="44"/>
      <c r="AB373" s="69"/>
      <c r="AC373" s="69"/>
      <c r="AD373" s="69"/>
      <c r="AH373" s="44"/>
      <c r="AI373" s="44"/>
      <c r="AJ373" s="44"/>
      <c r="AK373" s="44"/>
      <c r="AL373" s="44"/>
      <c r="AM373" s="44"/>
      <c r="AN373" s="44"/>
    </row>
    <row r="374" spans="16:40" x14ac:dyDescent="0.25">
      <c r="P374" s="44"/>
      <c r="Q374" s="44"/>
      <c r="R374" s="44"/>
      <c r="S374" s="44"/>
      <c r="V374" s="44"/>
      <c r="W374" s="44"/>
      <c r="X374" s="44"/>
      <c r="Y374" s="44"/>
      <c r="Z374" s="44"/>
      <c r="AA374" s="44"/>
      <c r="AB374" s="69"/>
      <c r="AC374" s="69"/>
      <c r="AD374" s="69"/>
      <c r="AH374" s="44"/>
      <c r="AI374" s="44"/>
      <c r="AJ374" s="44"/>
      <c r="AK374" s="44"/>
      <c r="AL374" s="44"/>
      <c r="AM374" s="44"/>
      <c r="AN374" s="44"/>
    </row>
    <row r="375" spans="16:40" x14ac:dyDescent="0.25">
      <c r="P375" s="44"/>
      <c r="Q375" s="44"/>
      <c r="R375" s="44"/>
      <c r="S375" s="44"/>
      <c r="V375" s="44"/>
      <c r="W375" s="44"/>
      <c r="X375" s="44"/>
      <c r="Y375" s="44"/>
      <c r="Z375" s="44"/>
      <c r="AA375" s="44"/>
      <c r="AB375" s="69"/>
      <c r="AC375" s="69"/>
      <c r="AD375" s="69"/>
      <c r="AH375" s="44"/>
      <c r="AI375" s="44"/>
      <c r="AJ375" s="44"/>
      <c r="AK375" s="44"/>
      <c r="AL375" s="44"/>
      <c r="AM375" s="44"/>
      <c r="AN375" s="44"/>
    </row>
    <row r="376" spans="16:40" x14ac:dyDescent="0.25">
      <c r="P376" s="44"/>
      <c r="Q376" s="44"/>
      <c r="R376" s="44"/>
      <c r="S376" s="44"/>
      <c r="V376" s="44"/>
      <c r="W376" s="44"/>
      <c r="X376" s="44"/>
      <c r="Y376" s="44"/>
      <c r="Z376" s="44"/>
      <c r="AA376" s="44"/>
      <c r="AB376" s="69"/>
      <c r="AC376" s="69"/>
      <c r="AD376" s="69"/>
      <c r="AH376" s="44"/>
      <c r="AI376" s="44"/>
      <c r="AJ376" s="44"/>
      <c r="AK376" s="44"/>
      <c r="AL376" s="44"/>
      <c r="AM376" s="44"/>
      <c r="AN376" s="44"/>
    </row>
    <row r="377" spans="16:40" x14ac:dyDescent="0.25">
      <c r="P377" s="44"/>
      <c r="Q377" s="44"/>
      <c r="R377" s="44"/>
      <c r="S377" s="44"/>
      <c r="V377" s="44"/>
      <c r="W377" s="44"/>
      <c r="X377" s="44"/>
      <c r="Y377" s="44"/>
      <c r="Z377" s="44"/>
      <c r="AA377" s="44"/>
      <c r="AB377" s="69"/>
      <c r="AC377" s="69"/>
      <c r="AD377" s="69"/>
      <c r="AH377" s="44"/>
      <c r="AI377" s="44"/>
      <c r="AJ377" s="44"/>
      <c r="AK377" s="44"/>
      <c r="AL377" s="44"/>
      <c r="AM377" s="44"/>
      <c r="AN377" s="44"/>
    </row>
    <row r="378" spans="16:40" x14ac:dyDescent="0.25">
      <c r="P378" s="44"/>
      <c r="Q378" s="44"/>
      <c r="R378" s="44"/>
      <c r="S378" s="44"/>
      <c r="V378" s="44"/>
      <c r="W378" s="44"/>
      <c r="X378" s="44"/>
      <c r="Y378" s="44"/>
      <c r="Z378" s="44"/>
      <c r="AA378" s="44"/>
      <c r="AB378" s="69"/>
      <c r="AC378" s="69"/>
      <c r="AD378" s="69"/>
      <c r="AH378" s="44"/>
      <c r="AI378" s="44"/>
      <c r="AJ378" s="44"/>
      <c r="AK378" s="44"/>
      <c r="AL378" s="44"/>
      <c r="AM378" s="44"/>
      <c r="AN378" s="44"/>
    </row>
    <row r="379" spans="16:40" x14ac:dyDescent="0.25">
      <c r="P379" s="44"/>
      <c r="Q379" s="44"/>
      <c r="R379" s="44"/>
      <c r="S379" s="44"/>
      <c r="V379" s="44"/>
      <c r="W379" s="44"/>
      <c r="X379" s="44"/>
      <c r="Y379" s="44"/>
      <c r="Z379" s="44"/>
      <c r="AA379" s="44"/>
      <c r="AB379" s="69"/>
      <c r="AC379" s="69"/>
      <c r="AD379" s="69"/>
      <c r="AH379" s="44"/>
      <c r="AI379" s="44"/>
      <c r="AJ379" s="44"/>
      <c r="AK379" s="44"/>
      <c r="AL379" s="44"/>
      <c r="AM379" s="44"/>
      <c r="AN379" s="44"/>
    </row>
    <row r="380" spans="16:40" x14ac:dyDescent="0.25">
      <c r="P380" s="44"/>
      <c r="Q380" s="44"/>
      <c r="R380" s="44"/>
      <c r="S380" s="44"/>
      <c r="V380" s="44"/>
      <c r="W380" s="44"/>
      <c r="X380" s="44"/>
      <c r="Y380" s="44"/>
      <c r="Z380" s="44"/>
      <c r="AA380" s="44"/>
      <c r="AB380" s="69"/>
      <c r="AC380" s="69"/>
      <c r="AD380" s="69"/>
      <c r="AH380" s="44"/>
      <c r="AI380" s="44"/>
      <c r="AJ380" s="44"/>
      <c r="AK380" s="44"/>
      <c r="AL380" s="44"/>
      <c r="AM380" s="44"/>
      <c r="AN380" s="44"/>
    </row>
    <row r="381" spans="16:40" x14ac:dyDescent="0.25">
      <c r="P381" s="44"/>
      <c r="Q381" s="44"/>
      <c r="R381" s="44"/>
      <c r="S381" s="44"/>
      <c r="V381" s="44"/>
      <c r="W381" s="44"/>
      <c r="X381" s="44"/>
      <c r="Y381" s="44"/>
      <c r="Z381" s="44"/>
      <c r="AA381" s="44"/>
      <c r="AB381" s="69"/>
      <c r="AC381" s="69"/>
      <c r="AD381" s="69"/>
      <c r="AH381" s="44"/>
      <c r="AI381" s="44"/>
      <c r="AJ381" s="44"/>
      <c r="AK381" s="44"/>
      <c r="AL381" s="44"/>
      <c r="AM381" s="44"/>
      <c r="AN381" s="44"/>
    </row>
    <row r="382" spans="16:40" x14ac:dyDescent="0.25">
      <c r="P382" s="44"/>
      <c r="Q382" s="44"/>
      <c r="R382" s="44"/>
      <c r="S382" s="44"/>
      <c r="V382" s="44"/>
      <c r="W382" s="44"/>
      <c r="X382" s="44"/>
      <c r="Y382" s="44"/>
      <c r="Z382" s="44"/>
      <c r="AA382" s="44"/>
      <c r="AB382" s="69"/>
      <c r="AC382" s="69"/>
      <c r="AD382" s="69"/>
      <c r="AH382" s="44"/>
      <c r="AI382" s="44"/>
      <c r="AJ382" s="44"/>
      <c r="AK382" s="44"/>
      <c r="AL382" s="44"/>
      <c r="AM382" s="44"/>
      <c r="AN382" s="44"/>
    </row>
    <row r="383" spans="16:40" x14ac:dyDescent="0.25">
      <c r="P383" s="44"/>
      <c r="Q383" s="44"/>
      <c r="R383" s="44"/>
      <c r="S383" s="44"/>
      <c r="V383" s="44"/>
      <c r="W383" s="44"/>
      <c r="X383" s="44"/>
      <c r="Y383" s="44"/>
      <c r="Z383" s="44"/>
      <c r="AA383" s="44"/>
      <c r="AB383" s="69"/>
      <c r="AC383" s="69"/>
      <c r="AD383" s="69"/>
      <c r="AH383" s="44"/>
      <c r="AI383" s="44"/>
      <c r="AJ383" s="44"/>
      <c r="AK383" s="44"/>
      <c r="AL383" s="44"/>
      <c r="AM383" s="44"/>
      <c r="AN383" s="44"/>
    </row>
    <row r="384" spans="16:40" x14ac:dyDescent="0.25">
      <c r="P384" s="44"/>
      <c r="Q384" s="44"/>
      <c r="R384" s="44"/>
      <c r="S384" s="44"/>
      <c r="V384" s="44"/>
      <c r="W384" s="44"/>
      <c r="X384" s="44"/>
      <c r="Y384" s="44"/>
      <c r="Z384" s="44"/>
      <c r="AA384" s="44"/>
      <c r="AB384" s="69"/>
      <c r="AC384" s="69"/>
      <c r="AD384" s="69"/>
      <c r="AH384" s="44"/>
      <c r="AI384" s="44"/>
      <c r="AJ384" s="44"/>
      <c r="AK384" s="44"/>
      <c r="AL384" s="44"/>
      <c r="AM384" s="44"/>
      <c r="AN384" s="44"/>
    </row>
    <row r="385" spans="16:40" x14ac:dyDescent="0.25">
      <c r="P385" s="44"/>
      <c r="Q385" s="44"/>
      <c r="R385" s="44"/>
      <c r="S385" s="44"/>
      <c r="V385" s="44"/>
      <c r="W385" s="44"/>
      <c r="X385" s="44"/>
      <c r="Y385" s="44"/>
      <c r="Z385" s="44"/>
      <c r="AA385" s="44"/>
      <c r="AB385" s="69"/>
      <c r="AC385" s="69"/>
      <c r="AD385" s="69"/>
      <c r="AH385" s="44"/>
      <c r="AI385" s="44"/>
      <c r="AJ385" s="44"/>
      <c r="AK385" s="44"/>
      <c r="AL385" s="44"/>
      <c r="AM385" s="44"/>
      <c r="AN385" s="44"/>
    </row>
    <row r="386" spans="16:40" x14ac:dyDescent="0.25">
      <c r="P386" s="44"/>
      <c r="Q386" s="44"/>
      <c r="R386" s="44"/>
      <c r="S386" s="44"/>
      <c r="V386" s="44"/>
      <c r="W386" s="44"/>
      <c r="X386" s="44"/>
      <c r="Y386" s="44"/>
      <c r="Z386" s="44"/>
      <c r="AA386" s="44"/>
      <c r="AB386" s="69"/>
      <c r="AC386" s="69"/>
      <c r="AD386" s="69"/>
      <c r="AH386" s="44"/>
      <c r="AI386" s="44"/>
      <c r="AJ386" s="44"/>
      <c r="AK386" s="44"/>
      <c r="AL386" s="44"/>
      <c r="AM386" s="44"/>
      <c r="AN386" s="44"/>
    </row>
    <row r="387" spans="16:40" x14ac:dyDescent="0.25">
      <c r="P387" s="44"/>
      <c r="Q387" s="44"/>
      <c r="R387" s="44"/>
      <c r="S387" s="44"/>
      <c r="V387" s="44"/>
      <c r="W387" s="44"/>
      <c r="X387" s="44"/>
      <c r="Y387" s="44"/>
      <c r="Z387" s="44"/>
      <c r="AA387" s="44"/>
      <c r="AB387" s="69"/>
      <c r="AC387" s="69"/>
      <c r="AD387" s="69"/>
      <c r="AH387" s="44"/>
      <c r="AI387" s="44"/>
      <c r="AJ387" s="44"/>
      <c r="AK387" s="44"/>
      <c r="AL387" s="44"/>
      <c r="AM387" s="44"/>
      <c r="AN387" s="44"/>
    </row>
    <row r="388" spans="16:40" x14ac:dyDescent="0.25">
      <c r="P388" s="44"/>
      <c r="Q388" s="44"/>
      <c r="R388" s="44"/>
      <c r="S388" s="44"/>
      <c r="V388" s="44"/>
      <c r="W388" s="44"/>
      <c r="X388" s="44"/>
      <c r="Y388" s="44"/>
      <c r="Z388" s="44"/>
      <c r="AA388" s="44"/>
      <c r="AB388" s="69"/>
      <c r="AC388" s="69"/>
      <c r="AD388" s="69"/>
      <c r="AH388" s="44"/>
      <c r="AI388" s="44"/>
      <c r="AJ388" s="44"/>
      <c r="AK388" s="44"/>
      <c r="AL388" s="44"/>
      <c r="AM388" s="44"/>
      <c r="AN388" s="44"/>
    </row>
    <row r="389" spans="16:40" x14ac:dyDescent="0.25">
      <c r="P389" s="44"/>
      <c r="Q389" s="44"/>
      <c r="R389" s="44"/>
      <c r="S389" s="44"/>
      <c r="V389" s="44"/>
      <c r="W389" s="44"/>
      <c r="X389" s="44"/>
      <c r="Y389" s="44"/>
      <c r="Z389" s="44"/>
      <c r="AA389" s="44"/>
      <c r="AB389" s="69"/>
      <c r="AC389" s="69"/>
      <c r="AD389" s="69"/>
      <c r="AH389" s="44"/>
      <c r="AI389" s="44"/>
      <c r="AJ389" s="44"/>
      <c r="AK389" s="44"/>
      <c r="AL389" s="44"/>
      <c r="AM389" s="44"/>
      <c r="AN389" s="44"/>
    </row>
    <row r="390" spans="16:40" x14ac:dyDescent="0.25">
      <c r="P390" s="44"/>
      <c r="Q390" s="44"/>
      <c r="R390" s="44"/>
      <c r="S390" s="44"/>
      <c r="V390" s="44"/>
      <c r="W390" s="44"/>
      <c r="X390" s="44"/>
      <c r="Y390" s="44"/>
      <c r="Z390" s="44"/>
      <c r="AA390" s="44"/>
      <c r="AB390" s="69"/>
      <c r="AC390" s="69"/>
      <c r="AD390" s="69"/>
      <c r="AH390" s="44"/>
      <c r="AI390" s="44"/>
      <c r="AJ390" s="44"/>
      <c r="AK390" s="44"/>
      <c r="AL390" s="44"/>
      <c r="AM390" s="44"/>
      <c r="AN390" s="44"/>
    </row>
    <row r="391" spans="16:40" x14ac:dyDescent="0.25">
      <c r="P391" s="44"/>
      <c r="Q391" s="44"/>
      <c r="R391" s="44"/>
      <c r="S391" s="44"/>
      <c r="V391" s="44"/>
      <c r="W391" s="44"/>
      <c r="X391" s="44"/>
      <c r="Y391" s="44"/>
      <c r="Z391" s="44"/>
      <c r="AA391" s="44"/>
      <c r="AB391" s="69"/>
      <c r="AC391" s="69"/>
      <c r="AD391" s="69"/>
      <c r="AH391" s="44"/>
      <c r="AI391" s="44"/>
      <c r="AJ391" s="44"/>
      <c r="AK391" s="44"/>
      <c r="AL391" s="44"/>
      <c r="AM391" s="44"/>
      <c r="AN391" s="44"/>
    </row>
    <row r="392" spans="16:40" x14ac:dyDescent="0.25">
      <c r="P392" s="44"/>
      <c r="Q392" s="44"/>
      <c r="R392" s="44"/>
      <c r="S392" s="44"/>
      <c r="V392" s="44"/>
      <c r="W392" s="44"/>
      <c r="X392" s="44"/>
      <c r="Y392" s="44"/>
      <c r="Z392" s="44"/>
      <c r="AA392" s="44"/>
      <c r="AB392" s="69"/>
      <c r="AC392" s="69"/>
      <c r="AD392" s="69"/>
      <c r="AH392" s="44"/>
      <c r="AI392" s="44"/>
      <c r="AJ392" s="44"/>
      <c r="AK392" s="44"/>
      <c r="AL392" s="44"/>
      <c r="AM392" s="44"/>
      <c r="AN392" s="44"/>
    </row>
    <row r="393" spans="16:40" x14ac:dyDescent="0.25">
      <c r="P393" s="44"/>
    </row>
    <row r="394" spans="16:40" x14ac:dyDescent="0.25">
      <c r="P394" s="44"/>
    </row>
    <row r="395" spans="16:40" x14ac:dyDescent="0.25">
      <c r="P395" s="44"/>
    </row>
    <row r="396" spans="16:40" x14ac:dyDescent="0.25">
      <c r="P396" s="44"/>
    </row>
    <row r="397" spans="16:40" x14ac:dyDescent="0.25">
      <c r="P397" s="44"/>
    </row>
    <row r="398" spans="16:40" x14ac:dyDescent="0.25">
      <c r="P398" s="44"/>
    </row>
    <row r="399" spans="16:40" x14ac:dyDescent="0.25">
      <c r="P399" s="44"/>
    </row>
    <row r="400" spans="16:40" x14ac:dyDescent="0.25">
      <c r="P400" s="44"/>
    </row>
  </sheetData>
  <mergeCells count="17">
    <mergeCell ref="AJ3:AL3"/>
    <mergeCell ref="D1:AO1"/>
    <mergeCell ref="A2:A5"/>
    <mergeCell ref="B2:B5"/>
    <mergeCell ref="D2:AO2"/>
    <mergeCell ref="AM3:AO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AF18"/>
  <sheetViews>
    <sheetView tabSelected="1" topLeftCell="M1" workbookViewId="0">
      <selection activeCell="AE3" sqref="AE3"/>
    </sheetView>
  </sheetViews>
  <sheetFormatPr defaultRowHeight="15" x14ac:dyDescent="0.25"/>
  <cols>
    <col min="1" max="1" width="15.7109375" customWidth="1"/>
    <col min="2" max="17" width="13.5703125" customWidth="1"/>
    <col min="18" max="31" width="13.5703125" bestFit="1" customWidth="1"/>
  </cols>
  <sheetData>
    <row r="1" spans="1:32" ht="45.75" customHeight="1" x14ac:dyDescent="0.25">
      <c r="A1" s="38" t="s">
        <v>31</v>
      </c>
      <c r="B1" s="39">
        <v>45291</v>
      </c>
      <c r="C1" s="39">
        <v>45322</v>
      </c>
      <c r="D1" s="39">
        <v>45350</v>
      </c>
      <c r="E1" s="39">
        <v>45382</v>
      </c>
      <c r="F1" s="39">
        <v>45412</v>
      </c>
      <c r="G1" s="39">
        <v>45443</v>
      </c>
      <c r="H1" s="39">
        <v>45473</v>
      </c>
      <c r="I1" s="57">
        <v>45504</v>
      </c>
      <c r="J1" s="57">
        <v>45535</v>
      </c>
      <c r="K1" s="57">
        <v>45565</v>
      </c>
      <c r="L1" s="57">
        <v>45596</v>
      </c>
      <c r="M1" s="57">
        <v>45626</v>
      </c>
      <c r="N1" s="39">
        <v>45657</v>
      </c>
      <c r="O1" s="39">
        <v>45688</v>
      </c>
      <c r="P1" s="39">
        <v>45716</v>
      </c>
      <c r="Q1" s="39">
        <v>45747</v>
      </c>
      <c r="R1" s="39">
        <v>45777</v>
      </c>
      <c r="S1" s="39">
        <v>45808</v>
      </c>
      <c r="T1" s="39">
        <v>45838</v>
      </c>
      <c r="U1" s="39">
        <v>45869</v>
      </c>
      <c r="V1" s="39">
        <v>45900</v>
      </c>
      <c r="W1" s="39">
        <v>45930</v>
      </c>
      <c r="X1" s="39">
        <v>45961</v>
      </c>
      <c r="Y1" s="39">
        <v>45991</v>
      </c>
      <c r="Z1" s="39">
        <v>46022</v>
      </c>
      <c r="AA1" s="39">
        <v>46053</v>
      </c>
      <c r="AB1" s="39">
        <v>46081</v>
      </c>
      <c r="AC1" s="39">
        <v>46112</v>
      </c>
      <c r="AD1" s="39">
        <v>46142</v>
      </c>
      <c r="AE1" s="39">
        <v>46173</v>
      </c>
    </row>
    <row r="2" spans="1:32" x14ac:dyDescent="0.25">
      <c r="A2" s="37" t="s">
        <v>28</v>
      </c>
      <c r="B2" s="41">
        <v>53188958.310000002</v>
      </c>
      <c r="C2" s="41">
        <v>45794339.5</v>
      </c>
      <c r="D2" s="41">
        <v>43895344.369999997</v>
      </c>
      <c r="E2" s="41">
        <v>41927816.859999999</v>
      </c>
      <c r="F2" s="41">
        <v>40296611.829999998</v>
      </c>
      <c r="G2" s="53">
        <f>38673869.26+14068489.39</f>
        <v>52742358.649999999</v>
      </c>
      <c r="H2" s="53">
        <f>68324473.87+13378478.61</f>
        <v>81702952.480000004</v>
      </c>
      <c r="I2" s="53">
        <f>78215895.03+12460028.83</f>
        <v>90675923.859999999</v>
      </c>
      <c r="J2" s="53">
        <v>76372924.329999998</v>
      </c>
      <c r="K2" s="53">
        <v>105387732.2</v>
      </c>
      <c r="L2" s="53">
        <v>124177167.7</v>
      </c>
      <c r="M2" s="53">
        <v>136122996</v>
      </c>
      <c r="N2" s="41">
        <v>170640420.69999999</v>
      </c>
      <c r="O2" s="41">
        <v>219234565.80000001</v>
      </c>
      <c r="P2" s="41">
        <v>215715020.59999999</v>
      </c>
      <c r="Q2" s="77">
        <v>211653016.80000001</v>
      </c>
      <c r="R2" s="41">
        <v>207965695.19999999</v>
      </c>
      <c r="S2" s="53">
        <f>194739357.83+33874180.61</f>
        <v>228613538.44</v>
      </c>
      <c r="T2" s="53">
        <f>181805107.4+33132141.19</f>
        <v>214937248.59</v>
      </c>
      <c r="U2" s="53">
        <f>188550546.9+32390101.72</f>
        <v>220940648.62</v>
      </c>
      <c r="V2" s="53">
        <v>205928898.40000001</v>
      </c>
      <c r="W2" s="53">
        <v>235748180.59999999</v>
      </c>
      <c r="X2" s="41">
        <v>226944588.09999999</v>
      </c>
      <c r="Y2" s="41">
        <v>240380207</v>
      </c>
      <c r="Z2" s="41">
        <v>235871835.90000001</v>
      </c>
      <c r="AA2" s="77">
        <v>296556223</v>
      </c>
      <c r="AB2" s="77">
        <v>290096801</v>
      </c>
      <c r="AC2" s="77">
        <v>292875824.30000001</v>
      </c>
      <c r="AD2" s="77">
        <v>278422052.30000001</v>
      </c>
      <c r="AE2" s="77">
        <v>255173236</v>
      </c>
    </row>
    <row r="3" spans="1:32" x14ac:dyDescent="0.25">
      <c r="A3" s="37" t="s">
        <v>27</v>
      </c>
      <c r="B3" s="41">
        <v>272135926.89999998</v>
      </c>
      <c r="C3" s="41">
        <v>266604295</v>
      </c>
      <c r="D3" s="41">
        <v>261072663.69999999</v>
      </c>
      <c r="E3" s="41">
        <v>250309196.19999999</v>
      </c>
      <c r="F3" s="41">
        <f>258554633.44-38800</f>
        <v>258515833.44</v>
      </c>
      <c r="G3" s="53">
        <f>241263959.93+11455249.07-4932022.44</f>
        <v>247787186.56</v>
      </c>
      <c r="H3" s="53">
        <f>285108685.2+5636016.83</f>
        <v>290744702.02999997</v>
      </c>
      <c r="I3" s="53">
        <f>278776448.7+5534188.18</f>
        <v>284310636.88</v>
      </c>
      <c r="J3" s="53">
        <v>274329082.80000001</v>
      </c>
      <c r="K3" s="53">
        <v>267984657.5</v>
      </c>
      <c r="L3" s="53">
        <f>296503112.8-11883030.81</f>
        <v>284620081.99000001</v>
      </c>
      <c r="M3" s="53">
        <v>297050516.5</v>
      </c>
      <c r="N3" s="41">
        <v>291836258.80000001</v>
      </c>
      <c r="O3" s="41">
        <v>290634845.10000002</v>
      </c>
      <c r="P3" s="41">
        <v>291297160.30000001</v>
      </c>
      <c r="Q3" s="41">
        <f>326814346.3-10395000</f>
        <v>316419346.30000001</v>
      </c>
      <c r="R3" s="51">
        <f>355310407.48-39000-20458914.4</f>
        <v>334812493.08000004</v>
      </c>
      <c r="S3" s="53">
        <f>329299243.59+27546702.73-19705432.1-107804.49-36996.59-2176.27</f>
        <v>336993536.87</v>
      </c>
      <c r="T3" s="53">
        <f>298636944.9+43047623.34</f>
        <v>341684568.24000001</v>
      </c>
      <c r="U3" s="53">
        <f>294525618.2+60070720.19</f>
        <v>354596338.38999999</v>
      </c>
      <c r="V3" s="53">
        <f>281223893+59067471.34-10209907.69</f>
        <v>330081456.65000004</v>
      </c>
      <c r="W3" s="53">
        <f>283383375.4-5021040.49</f>
        <v>278362334.90999997</v>
      </c>
      <c r="X3" s="41">
        <f>373373670.7-302690</f>
        <v>373070980.69999999</v>
      </c>
      <c r="Y3" s="41">
        <f>369314998.3-122826.69</f>
        <v>369192171.61000001</v>
      </c>
      <c r="Z3" s="41">
        <v>362214644.10000002</v>
      </c>
      <c r="AA3" s="41">
        <v>364200542.12</v>
      </c>
      <c r="AB3" s="41">
        <v>358083348.63</v>
      </c>
      <c r="AC3" s="41">
        <f>345662604.7-12098042.56</f>
        <v>333564562.13999999</v>
      </c>
      <c r="AD3" s="41">
        <f>361191122.99-12903088.42-39172.86</f>
        <v>348248861.70999998</v>
      </c>
      <c r="AE3" s="41">
        <v>378365793.42000002</v>
      </c>
      <c r="AF3" s="61"/>
    </row>
    <row r="4" spans="1:32" x14ac:dyDescent="0.25">
      <c r="A4" s="40" t="s">
        <v>25</v>
      </c>
      <c r="B4" s="42">
        <f>B2+B3</f>
        <v>325324885.20999998</v>
      </c>
      <c r="C4" s="42">
        <f>C2+C3</f>
        <v>312398634.5</v>
      </c>
      <c r="D4" s="42">
        <f>D2+D3</f>
        <v>304968008.06999999</v>
      </c>
      <c r="E4" s="42">
        <f>E2+E3</f>
        <v>292237013.06</v>
      </c>
      <c r="F4" s="42">
        <f t="shared" ref="F4:AE4" si="0">F2+F3</f>
        <v>298812445.26999998</v>
      </c>
      <c r="G4" s="42">
        <f t="shared" si="0"/>
        <v>300529545.20999998</v>
      </c>
      <c r="H4" s="42">
        <f t="shared" si="0"/>
        <v>372447654.50999999</v>
      </c>
      <c r="I4" s="42">
        <f t="shared" si="0"/>
        <v>374986560.74000001</v>
      </c>
      <c r="J4" s="42">
        <f t="shared" si="0"/>
        <v>350702007.13</v>
      </c>
      <c r="K4" s="42">
        <f t="shared" si="0"/>
        <v>373372389.69999999</v>
      </c>
      <c r="L4" s="42">
        <f t="shared" si="0"/>
        <v>408797249.69</v>
      </c>
      <c r="M4" s="42">
        <f t="shared" si="0"/>
        <v>433173512.5</v>
      </c>
      <c r="N4" s="42">
        <f t="shared" si="0"/>
        <v>462476679.5</v>
      </c>
      <c r="O4" s="42">
        <f>O2+O3</f>
        <v>509869410.90000004</v>
      </c>
      <c r="P4" s="42">
        <f>P2+P3</f>
        <v>507012180.89999998</v>
      </c>
      <c r="Q4" s="42">
        <f>Q2+Q3</f>
        <v>528072363.10000002</v>
      </c>
      <c r="R4" s="42">
        <f>R2+R3</f>
        <v>542778188.27999997</v>
      </c>
      <c r="S4" s="42">
        <f t="shared" si="0"/>
        <v>565607075.30999994</v>
      </c>
      <c r="T4" s="42">
        <f t="shared" si="0"/>
        <v>556621816.83000004</v>
      </c>
      <c r="U4" s="42">
        <f t="shared" si="0"/>
        <v>575536987.00999999</v>
      </c>
      <c r="V4" s="42">
        <f t="shared" si="0"/>
        <v>536010355.05000007</v>
      </c>
      <c r="W4" s="42">
        <f t="shared" si="0"/>
        <v>514110515.50999999</v>
      </c>
      <c r="X4" s="42">
        <f t="shared" si="0"/>
        <v>600015568.79999995</v>
      </c>
      <c r="Y4" s="42">
        <f t="shared" si="0"/>
        <v>609572378.61000001</v>
      </c>
      <c r="Z4" s="42">
        <f t="shared" si="0"/>
        <v>598086480</v>
      </c>
      <c r="AA4" s="42">
        <f t="shared" si="0"/>
        <v>660756765.12</v>
      </c>
      <c r="AB4" s="42">
        <f t="shared" si="0"/>
        <v>648180149.63</v>
      </c>
      <c r="AC4" s="42">
        <f t="shared" si="0"/>
        <v>626440386.44000006</v>
      </c>
      <c r="AD4" s="42">
        <f t="shared" si="0"/>
        <v>626670914.00999999</v>
      </c>
      <c r="AE4" s="42">
        <f t="shared" si="0"/>
        <v>633539029.42000008</v>
      </c>
    </row>
    <row r="5" spans="1:32" x14ac:dyDescent="0.25">
      <c r="F5" s="41"/>
      <c r="G5" s="51">
        <f>G4-B4</f>
        <v>-24795340</v>
      </c>
      <c r="H5" s="51"/>
      <c r="I5" s="51"/>
      <c r="J5" s="51"/>
      <c r="K5" s="51"/>
      <c r="L5" s="51"/>
      <c r="M5" s="51"/>
      <c r="S5" s="51">
        <f>S4-N4</f>
        <v>103130395.80999994</v>
      </c>
    </row>
    <row r="6" spans="1:32" x14ac:dyDescent="0.25">
      <c r="G6" s="51">
        <f>G3-B3</f>
        <v>-24348740.339999974</v>
      </c>
      <c r="H6" s="51"/>
      <c r="I6" s="51"/>
      <c r="J6" s="51"/>
      <c r="K6" s="51"/>
      <c r="L6" s="51"/>
      <c r="M6" s="51"/>
      <c r="S6" s="51">
        <f>S3-N3</f>
        <v>45157278.069999993</v>
      </c>
    </row>
    <row r="7" spans="1:32" x14ac:dyDescent="0.25">
      <c r="G7" s="51">
        <f>G2-B2</f>
        <v>-446599.66000000387</v>
      </c>
      <c r="H7" s="51"/>
      <c r="I7" s="51"/>
      <c r="J7" s="51"/>
      <c r="K7" s="51"/>
      <c r="L7" s="51"/>
      <c r="M7" s="51"/>
      <c r="S7" s="51">
        <f>S2-N2</f>
        <v>57973117.74000001</v>
      </c>
    </row>
    <row r="18" spans="24:24" x14ac:dyDescent="0.25">
      <c r="X18" s="51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AK13"/>
  <sheetViews>
    <sheetView workbookViewId="0">
      <selection activeCell="A14" sqref="A14"/>
    </sheetView>
  </sheetViews>
  <sheetFormatPr defaultRowHeight="15" x14ac:dyDescent="0.25"/>
  <cols>
    <col min="1" max="1" width="17.28515625" customWidth="1"/>
    <col min="2" max="12" width="13.5703125" bestFit="1" customWidth="1"/>
    <col min="13" max="13" width="14.140625" bestFit="1" customWidth="1"/>
    <col min="14" max="15" width="13.5703125" bestFit="1" customWidth="1"/>
    <col min="16" max="16" width="14.140625" bestFit="1" customWidth="1"/>
    <col min="17" max="37" width="10.140625" bestFit="1" customWidth="1"/>
  </cols>
  <sheetData>
    <row r="1" spans="1:37" x14ac:dyDescent="0.25">
      <c r="A1" s="124"/>
      <c r="B1" s="125">
        <v>45322</v>
      </c>
      <c r="C1" s="125">
        <v>45688</v>
      </c>
      <c r="D1" s="125">
        <v>46053</v>
      </c>
      <c r="E1" s="125">
        <v>45351</v>
      </c>
      <c r="F1" s="125">
        <v>45716</v>
      </c>
      <c r="G1" s="125">
        <v>46081</v>
      </c>
      <c r="H1" s="125">
        <v>45382</v>
      </c>
      <c r="I1" s="125">
        <v>45747</v>
      </c>
      <c r="J1" s="125">
        <v>46112</v>
      </c>
      <c r="K1" s="125">
        <v>45412</v>
      </c>
      <c r="L1" s="125">
        <v>45777</v>
      </c>
      <c r="M1" s="125">
        <v>46142</v>
      </c>
      <c r="N1" s="125">
        <v>45443</v>
      </c>
      <c r="O1" s="125">
        <v>45808</v>
      </c>
      <c r="P1" s="125">
        <v>46173</v>
      </c>
      <c r="Q1" s="125">
        <v>45473</v>
      </c>
      <c r="R1" s="125">
        <v>45838</v>
      </c>
      <c r="S1" s="125">
        <v>46203</v>
      </c>
      <c r="T1" s="125">
        <v>45504</v>
      </c>
      <c r="U1" s="125">
        <v>45869</v>
      </c>
      <c r="V1" s="125">
        <v>46234</v>
      </c>
      <c r="W1" s="125">
        <v>45535</v>
      </c>
      <c r="X1" s="125">
        <v>45900</v>
      </c>
      <c r="Y1" s="125">
        <v>46265</v>
      </c>
      <c r="Z1" s="125">
        <v>45565</v>
      </c>
      <c r="AA1" s="125">
        <v>45930</v>
      </c>
      <c r="AB1" s="125">
        <v>46295</v>
      </c>
      <c r="AC1" s="125">
        <v>45596</v>
      </c>
      <c r="AD1" s="125">
        <v>45961</v>
      </c>
      <c r="AE1" s="125">
        <v>46326</v>
      </c>
      <c r="AF1" s="125">
        <v>45626</v>
      </c>
      <c r="AG1" s="125">
        <v>45991</v>
      </c>
      <c r="AH1" s="125">
        <v>46356</v>
      </c>
      <c r="AI1" s="125">
        <v>45657</v>
      </c>
      <c r="AJ1" s="125">
        <v>46022</v>
      </c>
      <c r="AK1" s="125">
        <v>46387</v>
      </c>
    </row>
    <row r="2" spans="1:37" s="128" customFormat="1" ht="45" x14ac:dyDescent="0.25">
      <c r="A2" s="126" t="s">
        <v>60</v>
      </c>
      <c r="B2" s="127">
        <f t="shared" ref="B2:AK2" si="0">SUM(B3:B4)</f>
        <v>170924885.5</v>
      </c>
      <c r="C2" s="127">
        <f t="shared" si="0"/>
        <v>459300263.70999998</v>
      </c>
      <c r="D2" s="127">
        <f t="shared" si="0"/>
        <v>626440756.84000003</v>
      </c>
      <c r="E2" s="127">
        <f t="shared" si="0"/>
        <v>204387689.56</v>
      </c>
      <c r="F2" s="127">
        <f t="shared" si="0"/>
        <v>486910528.89999998</v>
      </c>
      <c r="G2" s="127">
        <f t="shared" si="0"/>
        <v>658793448.51999998</v>
      </c>
      <c r="H2" s="127">
        <f t="shared" si="0"/>
        <v>221161498.21000001</v>
      </c>
      <c r="I2" s="127">
        <f t="shared" si="0"/>
        <v>549325721.03999996</v>
      </c>
      <c r="J2" s="127">
        <f t="shared" si="0"/>
        <v>671114222.92999995</v>
      </c>
      <c r="K2" s="127">
        <f t="shared" si="0"/>
        <v>215669055.81999999</v>
      </c>
      <c r="L2" s="127">
        <f t="shared" si="0"/>
        <v>525422275.88999999</v>
      </c>
      <c r="M2" s="127">
        <f t="shared" si="0"/>
        <v>699400303.98000002</v>
      </c>
      <c r="N2" s="127">
        <f t="shared" si="0"/>
        <v>225679650.84999999</v>
      </c>
      <c r="O2" s="127">
        <f t="shared" si="0"/>
        <v>507501894.51999998</v>
      </c>
      <c r="P2" s="127">
        <f t="shared" si="0"/>
        <v>681853726.42999995</v>
      </c>
      <c r="Q2" s="127">
        <f t="shared" si="0"/>
        <v>0</v>
      </c>
      <c r="R2" s="127">
        <f t="shared" si="0"/>
        <v>0</v>
      </c>
      <c r="S2" s="127">
        <f t="shared" si="0"/>
        <v>0</v>
      </c>
      <c r="T2" s="127">
        <f t="shared" si="0"/>
        <v>0</v>
      </c>
      <c r="U2" s="127">
        <f t="shared" si="0"/>
        <v>0</v>
      </c>
      <c r="V2" s="127">
        <f t="shared" si="0"/>
        <v>0</v>
      </c>
      <c r="W2" s="127">
        <f t="shared" si="0"/>
        <v>0</v>
      </c>
      <c r="X2" s="127">
        <f t="shared" si="0"/>
        <v>0</v>
      </c>
      <c r="Y2" s="127">
        <f t="shared" si="0"/>
        <v>0</v>
      </c>
      <c r="Z2" s="127">
        <f t="shared" si="0"/>
        <v>0</v>
      </c>
      <c r="AA2" s="127">
        <f t="shared" si="0"/>
        <v>0</v>
      </c>
      <c r="AB2" s="127">
        <f t="shared" si="0"/>
        <v>0</v>
      </c>
      <c r="AC2" s="127">
        <f t="shared" si="0"/>
        <v>0</v>
      </c>
      <c r="AD2" s="127">
        <f t="shared" si="0"/>
        <v>0</v>
      </c>
      <c r="AE2" s="127">
        <f t="shared" si="0"/>
        <v>0</v>
      </c>
      <c r="AF2" s="127">
        <f t="shared" si="0"/>
        <v>0</v>
      </c>
      <c r="AG2" s="127">
        <f t="shared" si="0"/>
        <v>0</v>
      </c>
      <c r="AH2" s="127">
        <f t="shared" si="0"/>
        <v>0</v>
      </c>
      <c r="AI2" s="127">
        <f t="shared" si="0"/>
        <v>0</v>
      </c>
      <c r="AJ2" s="127">
        <f t="shared" si="0"/>
        <v>0</v>
      </c>
      <c r="AK2" s="127">
        <f t="shared" si="0"/>
        <v>0</v>
      </c>
    </row>
    <row r="3" spans="1:37" s="131" customFormat="1" x14ac:dyDescent="0.25">
      <c r="A3" s="129" t="s">
        <v>61</v>
      </c>
      <c r="B3" s="132">
        <v>170657385.5</v>
      </c>
      <c r="C3" s="132">
        <v>459300263.70999998</v>
      </c>
      <c r="D3" s="133">
        <v>626440756.84000003</v>
      </c>
      <c r="E3" s="132">
        <v>204120189.56</v>
      </c>
      <c r="F3" s="132">
        <v>486910528.89999998</v>
      </c>
      <c r="G3" s="132">
        <v>658793448.51999998</v>
      </c>
      <c r="H3" s="132">
        <v>220893998.21000001</v>
      </c>
      <c r="I3" s="132">
        <v>549325721.03999996</v>
      </c>
      <c r="J3" s="133">
        <v>671114222.92999995</v>
      </c>
      <c r="K3" s="132">
        <v>215401555.81999999</v>
      </c>
      <c r="L3" s="132">
        <v>525422275.88999999</v>
      </c>
      <c r="M3" s="130">
        <v>699400303.98000002</v>
      </c>
      <c r="N3" s="130">
        <v>225412150.84999999</v>
      </c>
      <c r="O3" s="130">
        <v>507501894.51999998</v>
      </c>
      <c r="P3" s="130">
        <v>681853726.42999995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</row>
    <row r="4" spans="1:37" s="131" customFormat="1" x14ac:dyDescent="0.25">
      <c r="A4" s="129" t="s">
        <v>65</v>
      </c>
      <c r="B4" s="132">
        <v>267500</v>
      </c>
      <c r="C4" s="130"/>
      <c r="D4" s="130"/>
      <c r="E4" s="132">
        <v>267500</v>
      </c>
      <c r="F4" s="130"/>
      <c r="G4" s="130"/>
      <c r="H4" s="132">
        <v>267500</v>
      </c>
      <c r="I4" s="130"/>
      <c r="J4" s="130"/>
      <c r="K4" s="132">
        <v>267500</v>
      </c>
      <c r="L4" s="130"/>
      <c r="M4" s="130"/>
      <c r="N4" s="130">
        <v>267500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</row>
    <row r="9" spans="1:37" x14ac:dyDescent="0.25">
      <c r="A9" s="124"/>
      <c r="B9" s="125">
        <v>45322</v>
      </c>
      <c r="C9" s="125">
        <v>45688</v>
      </c>
      <c r="D9" s="125">
        <v>46053</v>
      </c>
      <c r="E9" s="125">
        <v>45351</v>
      </c>
      <c r="F9" s="125">
        <v>45716</v>
      </c>
      <c r="G9" s="125">
        <v>46081</v>
      </c>
      <c r="H9" s="125">
        <v>45382</v>
      </c>
      <c r="I9" s="125">
        <v>45747</v>
      </c>
      <c r="J9" s="125">
        <v>46112</v>
      </c>
      <c r="K9" s="125">
        <v>45412</v>
      </c>
      <c r="L9" s="125">
        <v>45777</v>
      </c>
      <c r="M9" s="125">
        <v>46142</v>
      </c>
      <c r="N9" s="125">
        <v>45443</v>
      </c>
      <c r="O9" s="125">
        <v>45808</v>
      </c>
      <c r="P9" s="125">
        <v>46173</v>
      </c>
      <c r="Q9" s="125">
        <v>45473</v>
      </c>
      <c r="R9" s="125">
        <v>45838</v>
      </c>
      <c r="S9" s="125">
        <v>46203</v>
      </c>
      <c r="T9" s="125">
        <v>45504</v>
      </c>
      <c r="U9" s="125">
        <v>45869</v>
      </c>
      <c r="V9" s="125">
        <v>46234</v>
      </c>
      <c r="W9" s="125">
        <v>45535</v>
      </c>
      <c r="X9" s="125">
        <v>45900</v>
      </c>
      <c r="Y9" s="125">
        <v>46265</v>
      </c>
      <c r="Z9" s="125">
        <v>45565</v>
      </c>
      <c r="AA9" s="125">
        <v>45930</v>
      </c>
      <c r="AB9" s="125">
        <v>46295</v>
      </c>
      <c r="AC9" s="125">
        <v>45596</v>
      </c>
      <c r="AD9" s="125">
        <v>45961</v>
      </c>
      <c r="AE9" s="125">
        <v>46326</v>
      </c>
      <c r="AF9" s="125">
        <v>45626</v>
      </c>
      <c r="AG9" s="125">
        <v>45991</v>
      </c>
      <c r="AH9" s="125">
        <v>46356</v>
      </c>
      <c r="AI9" s="125">
        <v>45657</v>
      </c>
      <c r="AJ9" s="125">
        <v>46022</v>
      </c>
      <c r="AK9" s="125">
        <v>46387</v>
      </c>
    </row>
    <row r="10" spans="1:37" s="128" customFormat="1" ht="45" x14ac:dyDescent="0.25">
      <c r="A10" s="126" t="s">
        <v>62</v>
      </c>
      <c r="B10" s="127">
        <f t="shared" ref="B10:AK10" si="1">SUM(B11:B13)</f>
        <v>90666.54</v>
      </c>
      <c r="C10" s="127">
        <f t="shared" si="1"/>
        <v>3731584.0700000003</v>
      </c>
      <c r="D10" s="127">
        <f t="shared" si="1"/>
        <v>638829.07999999996</v>
      </c>
      <c r="E10" s="127">
        <f t="shared" si="1"/>
        <v>0</v>
      </c>
      <c r="F10" s="127">
        <f t="shared" si="1"/>
        <v>15740686.239999998</v>
      </c>
      <c r="G10" s="127">
        <f t="shared" si="1"/>
        <v>1812037.59</v>
      </c>
      <c r="H10" s="127">
        <f t="shared" si="1"/>
        <v>1007364</v>
      </c>
      <c r="I10" s="127">
        <f t="shared" si="1"/>
        <v>3669786.62</v>
      </c>
      <c r="J10" s="127">
        <f t="shared" si="1"/>
        <v>0</v>
      </c>
      <c r="K10" s="127">
        <f t="shared" si="1"/>
        <v>12638189.260000002</v>
      </c>
      <c r="L10" s="127">
        <f t="shared" si="1"/>
        <v>3669786.62</v>
      </c>
      <c r="M10" s="127">
        <f t="shared" si="1"/>
        <v>0</v>
      </c>
      <c r="N10" s="127">
        <f t="shared" si="1"/>
        <v>3669786.62</v>
      </c>
      <c r="O10" s="127">
        <f t="shared" si="1"/>
        <v>7743722.9700000007</v>
      </c>
      <c r="P10" s="127">
        <f t="shared" si="1"/>
        <v>0</v>
      </c>
      <c r="Q10" s="127">
        <f t="shared" si="1"/>
        <v>0</v>
      </c>
      <c r="R10" s="127">
        <f t="shared" si="1"/>
        <v>0</v>
      </c>
      <c r="S10" s="127">
        <f t="shared" si="1"/>
        <v>0</v>
      </c>
      <c r="T10" s="127">
        <f t="shared" si="1"/>
        <v>0</v>
      </c>
      <c r="U10" s="127">
        <f t="shared" si="1"/>
        <v>0</v>
      </c>
      <c r="V10" s="127">
        <f t="shared" si="1"/>
        <v>0</v>
      </c>
      <c r="W10" s="127">
        <f t="shared" si="1"/>
        <v>0</v>
      </c>
      <c r="X10" s="127">
        <f t="shared" si="1"/>
        <v>0</v>
      </c>
      <c r="Y10" s="127">
        <f t="shared" si="1"/>
        <v>0</v>
      </c>
      <c r="Z10" s="127">
        <f t="shared" si="1"/>
        <v>0</v>
      </c>
      <c r="AA10" s="127">
        <f t="shared" si="1"/>
        <v>0</v>
      </c>
      <c r="AB10" s="127">
        <f t="shared" si="1"/>
        <v>0</v>
      </c>
      <c r="AC10" s="127">
        <f t="shared" si="1"/>
        <v>0</v>
      </c>
      <c r="AD10" s="127">
        <f t="shared" si="1"/>
        <v>0</v>
      </c>
      <c r="AE10" s="127">
        <f t="shared" si="1"/>
        <v>0</v>
      </c>
      <c r="AF10" s="127">
        <f t="shared" si="1"/>
        <v>0</v>
      </c>
      <c r="AG10" s="127">
        <f t="shared" si="1"/>
        <v>0</v>
      </c>
      <c r="AH10" s="127">
        <f t="shared" si="1"/>
        <v>0</v>
      </c>
      <c r="AI10" s="127">
        <f t="shared" si="1"/>
        <v>0</v>
      </c>
      <c r="AJ10" s="127">
        <f t="shared" si="1"/>
        <v>0</v>
      </c>
      <c r="AK10" s="127">
        <f t="shared" si="1"/>
        <v>0</v>
      </c>
    </row>
    <row r="11" spans="1:37" s="131" customFormat="1" x14ac:dyDescent="0.25">
      <c r="A11" s="129" t="s">
        <v>63</v>
      </c>
      <c r="B11" s="132"/>
      <c r="C11" s="132">
        <v>61797.45</v>
      </c>
      <c r="D11" s="133">
        <v>638829.07999999996</v>
      </c>
      <c r="E11" s="130"/>
      <c r="F11" s="132">
        <v>12070899.619999999</v>
      </c>
      <c r="G11" s="132">
        <v>1812037.59</v>
      </c>
      <c r="H11" s="132">
        <v>1007364</v>
      </c>
      <c r="I11" s="130"/>
      <c r="J11" s="130"/>
      <c r="K11" s="132">
        <v>8255386.0999999996</v>
      </c>
      <c r="L11" s="130"/>
      <c r="M11" s="130"/>
      <c r="N11" s="130"/>
      <c r="O11" s="130">
        <v>4073936.35</v>
      </c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</row>
    <row r="12" spans="1:37" s="131" customFormat="1" x14ac:dyDescent="0.25">
      <c r="A12" s="129" t="s">
        <v>64</v>
      </c>
      <c r="B12" s="132">
        <v>90666.54</v>
      </c>
      <c r="C12" s="132"/>
      <c r="D12" s="130"/>
      <c r="E12" s="130"/>
      <c r="F12" s="132"/>
      <c r="G12" s="130"/>
      <c r="H12" s="130"/>
      <c r="I12" s="130"/>
      <c r="J12" s="130"/>
      <c r="K12" s="132">
        <v>713016.54</v>
      </c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</row>
    <row r="13" spans="1:37" s="131" customFormat="1" x14ac:dyDescent="0.25">
      <c r="A13" s="129" t="s">
        <v>66</v>
      </c>
      <c r="B13" s="132"/>
      <c r="C13" s="132">
        <v>3669786.62</v>
      </c>
      <c r="D13" s="130"/>
      <c r="E13" s="130"/>
      <c r="F13" s="132">
        <v>3669786.62</v>
      </c>
      <c r="G13" s="130"/>
      <c r="H13" s="130"/>
      <c r="I13" s="132">
        <v>3669786.62</v>
      </c>
      <c r="J13" s="130"/>
      <c r="K13" s="132">
        <v>3669786.62</v>
      </c>
      <c r="L13" s="132">
        <v>3669786.62</v>
      </c>
      <c r="M13" s="130"/>
      <c r="N13" s="130">
        <v>3669786.62</v>
      </c>
      <c r="O13" s="130">
        <v>3669786.62</v>
      </c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AK15"/>
  <sheetViews>
    <sheetView workbookViewId="0">
      <selection activeCell="C7" sqref="C7"/>
    </sheetView>
  </sheetViews>
  <sheetFormatPr defaultRowHeight="15" x14ac:dyDescent="0.25"/>
  <cols>
    <col min="1" max="1" width="16.5703125" customWidth="1"/>
    <col min="2" max="3" width="14" bestFit="1" customWidth="1"/>
    <col min="4" max="4" width="13.5703125" bestFit="1" customWidth="1"/>
    <col min="5" max="9" width="14" bestFit="1" customWidth="1"/>
    <col min="10" max="10" width="13.5703125" bestFit="1" customWidth="1"/>
    <col min="11" max="11" width="15" bestFit="1" customWidth="1"/>
    <col min="12" max="12" width="14" bestFit="1" customWidth="1"/>
    <col min="13" max="16" width="14.140625" bestFit="1" customWidth="1"/>
    <col min="17" max="37" width="10.140625" bestFit="1" customWidth="1"/>
  </cols>
  <sheetData>
    <row r="1" spans="1:37" x14ac:dyDescent="0.25">
      <c r="A1" s="124"/>
      <c r="B1" s="125">
        <v>45322</v>
      </c>
      <c r="C1" s="125">
        <v>45688</v>
      </c>
      <c r="D1" s="125">
        <v>46053</v>
      </c>
      <c r="E1" s="125">
        <v>45351</v>
      </c>
      <c r="F1" s="125">
        <v>45716</v>
      </c>
      <c r="G1" s="125">
        <v>46081</v>
      </c>
      <c r="H1" s="125">
        <v>45382</v>
      </c>
      <c r="I1" s="125">
        <v>45747</v>
      </c>
      <c r="J1" s="125">
        <v>46112</v>
      </c>
      <c r="K1" s="125">
        <v>45412</v>
      </c>
      <c r="L1" s="125">
        <v>45777</v>
      </c>
      <c r="M1" s="125">
        <v>46142</v>
      </c>
      <c r="N1" s="125">
        <v>45443</v>
      </c>
      <c r="O1" s="125">
        <v>45808</v>
      </c>
      <c r="P1" s="125">
        <v>46173</v>
      </c>
      <c r="Q1" s="125">
        <v>45473</v>
      </c>
      <c r="R1" s="125">
        <v>45838</v>
      </c>
      <c r="S1" s="125">
        <v>46203</v>
      </c>
      <c r="T1" s="125">
        <v>45504</v>
      </c>
      <c r="U1" s="125">
        <v>45869</v>
      </c>
      <c r="V1" s="125">
        <v>46234</v>
      </c>
      <c r="W1" s="125">
        <v>45535</v>
      </c>
      <c r="X1" s="125">
        <v>45900</v>
      </c>
      <c r="Y1" s="125">
        <v>46265</v>
      </c>
      <c r="Z1" s="125">
        <v>45565</v>
      </c>
      <c r="AA1" s="125">
        <v>45930</v>
      </c>
      <c r="AB1" s="125">
        <v>46295</v>
      </c>
      <c r="AC1" s="125">
        <v>45596</v>
      </c>
      <c r="AD1" s="125">
        <v>45961</v>
      </c>
      <c r="AE1" s="125">
        <v>46326</v>
      </c>
      <c r="AF1" s="125">
        <v>45626</v>
      </c>
      <c r="AG1" s="125">
        <v>45991</v>
      </c>
      <c r="AH1" s="125">
        <v>46356</v>
      </c>
      <c r="AI1" s="125">
        <v>45657</v>
      </c>
      <c r="AJ1" s="125">
        <v>46022</v>
      </c>
      <c r="AK1" s="125">
        <v>46387</v>
      </c>
    </row>
    <row r="2" spans="1:37" s="128" customFormat="1" ht="45" x14ac:dyDescent="0.25">
      <c r="A2" s="126" t="s">
        <v>60</v>
      </c>
      <c r="B2" s="127">
        <f t="shared" ref="B2:AK2" si="0">SUM(B3:B6)</f>
        <v>62528533.850000001</v>
      </c>
      <c r="C2" s="127">
        <f t="shared" si="0"/>
        <v>535504879.31</v>
      </c>
      <c r="D2" s="127">
        <f t="shared" si="0"/>
        <v>725145607.03999996</v>
      </c>
      <c r="E2" s="127">
        <f t="shared" si="0"/>
        <v>46057067.700000003</v>
      </c>
      <c r="F2" s="127">
        <f t="shared" si="0"/>
        <v>599146963.1500001</v>
      </c>
      <c r="G2" s="127">
        <f t="shared" si="0"/>
        <v>774201156.70000005</v>
      </c>
      <c r="H2" s="127">
        <f t="shared" si="0"/>
        <v>62578533.850000001</v>
      </c>
      <c r="I2" s="127">
        <f t="shared" si="0"/>
        <v>575011480.15999997</v>
      </c>
      <c r="J2" s="127">
        <f t="shared" si="0"/>
        <v>797595840.25999999</v>
      </c>
      <c r="K2" s="127">
        <f t="shared" si="0"/>
        <v>1032248627.84</v>
      </c>
      <c r="L2" s="127">
        <f t="shared" si="0"/>
        <v>623227336.17999995</v>
      </c>
      <c r="M2" s="127">
        <f t="shared" si="0"/>
        <v>841027196.7700001</v>
      </c>
      <c r="N2" s="127">
        <f t="shared" si="0"/>
        <v>786264418.28999996</v>
      </c>
      <c r="O2" s="127">
        <f t="shared" si="0"/>
        <v>659761435.24000001</v>
      </c>
      <c r="P2" s="127">
        <f t="shared" si="0"/>
        <v>878999837.04999995</v>
      </c>
      <c r="Q2" s="127">
        <f t="shared" si="0"/>
        <v>0</v>
      </c>
      <c r="R2" s="127">
        <f t="shared" si="0"/>
        <v>0</v>
      </c>
      <c r="S2" s="127">
        <f t="shared" si="0"/>
        <v>0</v>
      </c>
      <c r="T2" s="127">
        <f t="shared" si="0"/>
        <v>0</v>
      </c>
      <c r="U2" s="127">
        <f t="shared" si="0"/>
        <v>0</v>
      </c>
      <c r="V2" s="127">
        <f t="shared" si="0"/>
        <v>0</v>
      </c>
      <c r="W2" s="127">
        <f t="shared" si="0"/>
        <v>0</v>
      </c>
      <c r="X2" s="127">
        <f t="shared" si="0"/>
        <v>0</v>
      </c>
      <c r="Y2" s="127">
        <f t="shared" si="0"/>
        <v>0</v>
      </c>
      <c r="Z2" s="127">
        <f t="shared" si="0"/>
        <v>0</v>
      </c>
      <c r="AA2" s="127">
        <f t="shared" si="0"/>
        <v>0</v>
      </c>
      <c r="AB2" s="127">
        <f t="shared" si="0"/>
        <v>0</v>
      </c>
      <c r="AC2" s="127">
        <f t="shared" si="0"/>
        <v>0</v>
      </c>
      <c r="AD2" s="127">
        <f t="shared" si="0"/>
        <v>0</v>
      </c>
      <c r="AE2" s="127">
        <f t="shared" si="0"/>
        <v>0</v>
      </c>
      <c r="AF2" s="127">
        <f t="shared" si="0"/>
        <v>0</v>
      </c>
      <c r="AG2" s="127">
        <f t="shared" si="0"/>
        <v>0</v>
      </c>
      <c r="AH2" s="127">
        <f t="shared" si="0"/>
        <v>0</v>
      </c>
      <c r="AI2" s="127">
        <f t="shared" si="0"/>
        <v>0</v>
      </c>
      <c r="AJ2" s="127">
        <f t="shared" si="0"/>
        <v>0</v>
      </c>
      <c r="AK2" s="127">
        <f t="shared" si="0"/>
        <v>0</v>
      </c>
    </row>
    <row r="3" spans="1:37" s="131" customFormat="1" x14ac:dyDescent="0.25">
      <c r="A3" s="129" t="s">
        <v>61</v>
      </c>
      <c r="B3" s="132">
        <v>62528533.850000001</v>
      </c>
      <c r="C3" s="132">
        <v>504383468.74000001</v>
      </c>
      <c r="D3" s="132">
        <v>692069607.67999995</v>
      </c>
      <c r="E3" s="132">
        <v>46057067.700000003</v>
      </c>
      <c r="F3" s="132">
        <v>562840670.59000003</v>
      </c>
      <c r="G3" s="132">
        <v>738736340.63</v>
      </c>
      <c r="H3" s="132">
        <v>62578533.850000001</v>
      </c>
      <c r="I3" s="132">
        <v>569635019.54999995</v>
      </c>
      <c r="J3" s="132">
        <v>759815358.71000004</v>
      </c>
      <c r="K3" s="132">
        <v>97740587.340000004</v>
      </c>
      <c r="L3" s="132">
        <v>613496087.16999996</v>
      </c>
      <c r="M3" s="132">
        <v>801540054.95000005</v>
      </c>
      <c r="N3" s="132">
        <v>139410066.31</v>
      </c>
      <c r="O3" s="132">
        <v>645970474.22000003</v>
      </c>
      <c r="P3" s="132">
        <v>838403424.26999998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</row>
    <row r="4" spans="1:37" s="131" customFormat="1" x14ac:dyDescent="0.25">
      <c r="A4" s="129" t="s">
        <v>65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</row>
    <row r="5" spans="1:37" s="131" customFormat="1" x14ac:dyDescent="0.25">
      <c r="A5" s="129" t="s">
        <v>68</v>
      </c>
      <c r="B5" s="132"/>
      <c r="C5" s="132">
        <v>31121410.57</v>
      </c>
      <c r="D5" s="132">
        <v>33075999.359999999</v>
      </c>
      <c r="E5" s="132"/>
      <c r="F5" s="132">
        <v>36306292.560000002</v>
      </c>
      <c r="G5" s="132">
        <v>35464816.07</v>
      </c>
      <c r="H5" s="132"/>
      <c r="I5" s="132">
        <v>5376460.6100000003</v>
      </c>
      <c r="J5" s="132">
        <v>37780481.549999997</v>
      </c>
      <c r="K5" s="132"/>
      <c r="L5" s="132">
        <v>9731249.0099999998</v>
      </c>
      <c r="M5" s="132">
        <v>39487141.82</v>
      </c>
      <c r="N5" s="132">
        <v>146311.48000000001</v>
      </c>
      <c r="O5" s="132">
        <v>13790961.02</v>
      </c>
      <c r="P5" s="132">
        <v>40596412.780000001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</row>
    <row r="6" spans="1:37" s="131" customFormat="1" x14ac:dyDescent="0.25">
      <c r="A6" s="129" t="s">
        <v>67</v>
      </c>
      <c r="B6" s="132"/>
      <c r="C6" s="132"/>
      <c r="D6" s="132"/>
      <c r="E6" s="132"/>
      <c r="F6" s="132"/>
      <c r="G6" s="132"/>
      <c r="H6" s="132"/>
      <c r="I6" s="132"/>
      <c r="J6" s="132"/>
      <c r="K6" s="132">
        <v>934508040.5</v>
      </c>
      <c r="L6" s="132"/>
      <c r="M6" s="132"/>
      <c r="N6" s="132">
        <v>646708040.5</v>
      </c>
      <c r="O6" s="132"/>
      <c r="P6" s="132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</row>
    <row r="11" spans="1:37" x14ac:dyDescent="0.25">
      <c r="A11" s="124"/>
      <c r="B11" s="125">
        <v>45322</v>
      </c>
      <c r="C11" s="125">
        <v>45688</v>
      </c>
      <c r="D11" s="125">
        <v>46053</v>
      </c>
      <c r="E11" s="125">
        <v>45351</v>
      </c>
      <c r="F11" s="125">
        <v>45716</v>
      </c>
      <c r="G11" s="125">
        <v>46081</v>
      </c>
      <c r="H11" s="125">
        <v>45382</v>
      </c>
      <c r="I11" s="125">
        <v>45747</v>
      </c>
      <c r="J11" s="125">
        <v>46112</v>
      </c>
      <c r="K11" s="125">
        <v>45412</v>
      </c>
      <c r="L11" s="125">
        <v>45777</v>
      </c>
      <c r="M11" s="125">
        <v>46142</v>
      </c>
      <c r="N11" s="125">
        <v>45443</v>
      </c>
      <c r="O11" s="125">
        <v>45808</v>
      </c>
      <c r="P11" s="125">
        <v>46173</v>
      </c>
      <c r="Q11" s="125">
        <v>45473</v>
      </c>
      <c r="R11" s="125">
        <v>45838</v>
      </c>
      <c r="S11" s="125">
        <v>46203</v>
      </c>
      <c r="T11" s="125">
        <v>45504</v>
      </c>
      <c r="U11" s="125">
        <v>45869</v>
      </c>
      <c r="V11" s="125">
        <v>46234</v>
      </c>
      <c r="W11" s="125">
        <v>45535</v>
      </c>
      <c r="X11" s="125">
        <v>45900</v>
      </c>
      <c r="Y11" s="125">
        <v>46265</v>
      </c>
      <c r="Z11" s="125">
        <v>45565</v>
      </c>
      <c r="AA11" s="125">
        <v>45930</v>
      </c>
      <c r="AB11" s="125">
        <v>46295</v>
      </c>
      <c r="AC11" s="125">
        <v>45596</v>
      </c>
      <c r="AD11" s="125">
        <v>45961</v>
      </c>
      <c r="AE11" s="125">
        <v>46326</v>
      </c>
      <c r="AF11" s="125">
        <v>45626</v>
      </c>
      <c r="AG11" s="125">
        <v>45991</v>
      </c>
      <c r="AH11" s="125">
        <v>46356</v>
      </c>
      <c r="AI11" s="125">
        <v>45657</v>
      </c>
      <c r="AJ11" s="125">
        <v>46022</v>
      </c>
      <c r="AK11" s="125">
        <v>46387</v>
      </c>
    </row>
    <row r="12" spans="1:37" s="128" customFormat="1" ht="45" x14ac:dyDescent="0.25">
      <c r="A12" s="126" t="s">
        <v>62</v>
      </c>
      <c r="B12" s="127">
        <f t="shared" ref="B12:AK12" si="1">SUM(B13:B15)</f>
        <v>0</v>
      </c>
      <c r="C12" s="127">
        <f t="shared" si="1"/>
        <v>0</v>
      </c>
      <c r="D12" s="127">
        <f t="shared" si="1"/>
        <v>0</v>
      </c>
      <c r="E12" s="127">
        <f t="shared" si="1"/>
        <v>0</v>
      </c>
      <c r="F12" s="127">
        <f t="shared" si="1"/>
        <v>0</v>
      </c>
      <c r="G12" s="127">
        <f t="shared" si="1"/>
        <v>0</v>
      </c>
      <c r="H12" s="127">
        <f t="shared" si="1"/>
        <v>50000</v>
      </c>
      <c r="I12" s="127">
        <f t="shared" si="1"/>
        <v>0</v>
      </c>
      <c r="J12" s="127">
        <f t="shared" si="1"/>
        <v>0</v>
      </c>
      <c r="K12" s="127">
        <f t="shared" si="1"/>
        <v>0</v>
      </c>
      <c r="L12" s="127">
        <f t="shared" si="1"/>
        <v>0</v>
      </c>
      <c r="M12" s="127">
        <f t="shared" si="1"/>
        <v>0</v>
      </c>
      <c r="N12" s="127">
        <f t="shared" si="1"/>
        <v>0</v>
      </c>
      <c r="O12" s="127">
        <f t="shared" si="1"/>
        <v>0</v>
      </c>
      <c r="P12" s="127">
        <f t="shared" si="1"/>
        <v>0</v>
      </c>
      <c r="Q12" s="127">
        <f t="shared" si="1"/>
        <v>0</v>
      </c>
      <c r="R12" s="127">
        <f t="shared" si="1"/>
        <v>0</v>
      </c>
      <c r="S12" s="127">
        <f t="shared" si="1"/>
        <v>0</v>
      </c>
      <c r="T12" s="127">
        <f t="shared" si="1"/>
        <v>0</v>
      </c>
      <c r="U12" s="127">
        <f t="shared" si="1"/>
        <v>0</v>
      </c>
      <c r="V12" s="127">
        <f t="shared" si="1"/>
        <v>0</v>
      </c>
      <c r="W12" s="127">
        <f t="shared" si="1"/>
        <v>0</v>
      </c>
      <c r="X12" s="127">
        <f t="shared" si="1"/>
        <v>0</v>
      </c>
      <c r="Y12" s="127">
        <f t="shared" si="1"/>
        <v>0</v>
      </c>
      <c r="Z12" s="127">
        <f t="shared" si="1"/>
        <v>0</v>
      </c>
      <c r="AA12" s="127">
        <f t="shared" si="1"/>
        <v>0</v>
      </c>
      <c r="AB12" s="127">
        <f t="shared" si="1"/>
        <v>0</v>
      </c>
      <c r="AC12" s="127">
        <f t="shared" si="1"/>
        <v>0</v>
      </c>
      <c r="AD12" s="127">
        <f t="shared" si="1"/>
        <v>0</v>
      </c>
      <c r="AE12" s="127">
        <f t="shared" si="1"/>
        <v>0</v>
      </c>
      <c r="AF12" s="127">
        <f t="shared" si="1"/>
        <v>0</v>
      </c>
      <c r="AG12" s="127">
        <f t="shared" si="1"/>
        <v>0</v>
      </c>
      <c r="AH12" s="127">
        <f t="shared" si="1"/>
        <v>0</v>
      </c>
      <c r="AI12" s="127">
        <f t="shared" si="1"/>
        <v>0</v>
      </c>
      <c r="AJ12" s="127">
        <f t="shared" si="1"/>
        <v>0</v>
      </c>
      <c r="AK12" s="127">
        <f t="shared" si="1"/>
        <v>0</v>
      </c>
    </row>
    <row r="13" spans="1:37" s="131" customFormat="1" x14ac:dyDescent="0.25">
      <c r="A13" s="129" t="s">
        <v>63</v>
      </c>
      <c r="B13" s="132"/>
      <c r="C13" s="132"/>
      <c r="D13" s="132"/>
      <c r="E13" s="132"/>
      <c r="F13" s="132"/>
      <c r="G13" s="132"/>
      <c r="H13" s="132">
        <v>50000</v>
      </c>
      <c r="I13" s="132"/>
      <c r="J13" s="132"/>
      <c r="K13" s="132"/>
      <c r="L13" s="132"/>
      <c r="M13" s="132"/>
      <c r="N13" s="132"/>
      <c r="O13" s="132"/>
      <c r="P13" s="132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</row>
    <row r="14" spans="1:37" s="131" customFormat="1" x14ac:dyDescent="0.25">
      <c r="A14" s="129" t="s">
        <v>64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</row>
    <row r="15" spans="1:37" s="131" customFormat="1" x14ac:dyDescent="0.25">
      <c r="A15" s="129" t="s">
        <v>66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НСС-Контент</vt:lpstr>
      <vt:lpstr>НСС - Перспектива</vt:lpstr>
      <vt:lpstr>Аренда</vt:lpstr>
      <vt:lpstr>Остаточная ст-ть</vt:lpstr>
      <vt:lpstr>ДЗ и КЗ_Перспектива</vt:lpstr>
      <vt:lpstr>ДЗ и КЗ_Контент</vt:lpstr>
      <vt:lpstr>Аренда!Область_печати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Рыбас</dc:creator>
  <cp:lastModifiedBy>Ольга Рыбас</cp:lastModifiedBy>
  <cp:lastPrinted>2025-05-14T08:09:03Z</cp:lastPrinted>
  <dcterms:created xsi:type="dcterms:W3CDTF">2025-03-15T12:55:51Z</dcterms:created>
  <dcterms:modified xsi:type="dcterms:W3CDTF">2026-06-15T06:07:09Z</dcterms:modified>
</cp:coreProperties>
</file>